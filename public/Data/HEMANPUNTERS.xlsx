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urnor\Repos\seeMore\public\Data\"/>
    </mc:Choice>
  </mc:AlternateContent>
  <xr:revisionPtr revIDLastSave="0" documentId="8_{BAEF0170-E0A5-46D2-B033-19D78F6C50F0}" xr6:coauthVersionLast="47" xr6:coauthVersionMax="47" xr10:uidLastSave="{00000000-0000-0000-0000-000000000000}"/>
  <bookViews>
    <workbookView xWindow="-108" yWindow="-108" windowWidth="23256" windowHeight="13896" firstSheet="8" activeTab="8" xr2:uid="{525E8989-1938-4309-A4CF-8F1D15E362FB}"/>
  </bookViews>
  <sheets>
    <sheet name="Punters club" sheetId="1" r:id="rId1"/>
    <sheet name="Punters 2020" sheetId="5" r:id="rId2"/>
    <sheet name="Punters 2021" sheetId="6" r:id="rId3"/>
    <sheet name="Punters 2022" sheetId="7" r:id="rId4"/>
    <sheet name="Punters 2023" sheetId="8" r:id="rId5"/>
    <sheet name="Punters 2024" sheetId="9" r:id="rId6"/>
    <sheet name="Punters 2025" sheetId="10" r:id="rId7"/>
    <sheet name="1 Leg Losses 2025" sheetId="11" r:id="rId8"/>
    <sheet name="Punters 2026" sheetId="12" r:id="rId9"/>
    <sheet name="1 Leg Losses 2026" sheetId="1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4" l="1"/>
  <c r="W59" i="12"/>
  <c r="W58" i="12"/>
  <c r="W57" i="12"/>
  <c r="W55" i="12"/>
  <c r="W54" i="12"/>
  <c r="W53" i="12"/>
  <c r="W52" i="12"/>
  <c r="W51" i="12"/>
  <c r="W50" i="12"/>
  <c r="W49" i="12"/>
  <c r="W48" i="12"/>
  <c r="G12" i="14"/>
  <c r="G11" i="14"/>
  <c r="G10" i="14"/>
  <c r="G9" i="14"/>
  <c r="G6" i="14"/>
  <c r="G5" i="14"/>
  <c r="G4" i="14"/>
  <c r="G7" i="14"/>
  <c r="G8" i="14"/>
  <c r="W47" i="12"/>
  <c r="W56" i="12"/>
  <c r="W60" i="12"/>
  <c r="AB30" i="12"/>
  <c r="F13" i="14"/>
  <c r="G13" i="14"/>
  <c r="F12" i="14"/>
  <c r="F11" i="14"/>
  <c r="F10" i="14"/>
  <c r="F9" i="14"/>
  <c r="F8" i="14"/>
  <c r="F7" i="14"/>
  <c r="F6" i="14"/>
  <c r="F5" i="14"/>
  <c r="F4" i="14"/>
  <c r="G3" i="14"/>
  <c r="F3" i="14"/>
  <c r="G2" i="14"/>
  <c r="F2" i="14"/>
  <c r="G1" i="14"/>
  <c r="F1" i="14"/>
  <c r="F14" i="14" s="1"/>
  <c r="K62" i="12"/>
  <c r="Y35" i="12"/>
  <c r="Y34" i="12"/>
  <c r="AA30" i="12"/>
  <c r="AB31" i="12" s="1"/>
  <c r="Y30" i="12"/>
  <c r="W30" i="12"/>
  <c r="V30" i="12"/>
  <c r="U30" i="12"/>
  <c r="T30" i="12"/>
  <c r="S30" i="12"/>
  <c r="R30" i="12"/>
  <c r="P30" i="12"/>
  <c r="N30" i="12"/>
  <c r="L30" i="12"/>
  <c r="J30" i="12"/>
  <c r="H30" i="12"/>
  <c r="F30" i="12"/>
  <c r="D30" i="12"/>
  <c r="AD29" i="12"/>
  <c r="AC29" i="12"/>
  <c r="AD28" i="12"/>
  <c r="AC28" i="12"/>
  <c r="AD27" i="12"/>
  <c r="AC27" i="12"/>
  <c r="AD26" i="12"/>
  <c r="AC26" i="12"/>
  <c r="AD25" i="12"/>
  <c r="AC25" i="12"/>
  <c r="AD24" i="12"/>
  <c r="AC24" i="12"/>
  <c r="AD23" i="12"/>
  <c r="AC23" i="12"/>
  <c r="AD22" i="12"/>
  <c r="AC22" i="12"/>
  <c r="AD21" i="12"/>
  <c r="G30" i="12"/>
  <c r="C30" i="12"/>
  <c r="AD20" i="12"/>
  <c r="AC20" i="12"/>
  <c r="AD19" i="12"/>
  <c r="AC19" i="12"/>
  <c r="AJ18" i="12"/>
  <c r="AI18" i="12"/>
  <c r="AD18" i="12"/>
  <c r="AJ17" i="12"/>
  <c r="AI17" i="12"/>
  <c r="AD17" i="12"/>
  <c r="AC17" i="12"/>
  <c r="AI16" i="12"/>
  <c r="AD16" i="12"/>
  <c r="AC16" i="12"/>
  <c r="AJ15" i="12"/>
  <c r="AD15" i="12"/>
  <c r="AC15" i="12"/>
  <c r="AJ14" i="12"/>
  <c r="AD14" i="12"/>
  <c r="AC14" i="12"/>
  <c r="AJ13" i="12"/>
  <c r="AD13" i="12"/>
  <c r="AC13" i="12"/>
  <c r="AJ12" i="12"/>
  <c r="AI12" i="12"/>
  <c r="AD12" i="12"/>
  <c r="AC12" i="12"/>
  <c r="AJ11" i="12"/>
  <c r="AC11" i="12"/>
  <c r="AJ10" i="12"/>
  <c r="AI10" i="12"/>
  <c r="AD10" i="12"/>
  <c r="AC10" i="12"/>
  <c r="AI9" i="12"/>
  <c r="AD9" i="12"/>
  <c r="AC9" i="12"/>
  <c r="AJ8" i="12"/>
  <c r="AD8" i="12"/>
  <c r="AC8" i="12"/>
  <c r="AJ7" i="12"/>
  <c r="AD7" i="12"/>
  <c r="O30" i="12"/>
  <c r="M30" i="12"/>
  <c r="AI11" i="12" s="1"/>
  <c r="K30" i="12"/>
  <c r="AI8" i="12" s="1"/>
  <c r="AD6" i="12"/>
  <c r="AC6" i="12"/>
  <c r="AC5" i="12"/>
  <c r="AD4" i="12"/>
  <c r="AC4" i="12"/>
  <c r="AJ10" i="10"/>
  <c r="AI10" i="10"/>
  <c r="AJ13" i="10"/>
  <c r="AI13" i="10"/>
  <c r="AI15" i="10"/>
  <c r="AJ9" i="10"/>
  <c r="AI9" i="10"/>
  <c r="AJ11" i="10"/>
  <c r="AI11" i="10"/>
  <c r="AI16" i="10"/>
  <c r="AJ16" i="10"/>
  <c r="D31" i="12" l="1"/>
  <c r="AE4" i="12"/>
  <c r="AE5" i="12" s="1"/>
  <c r="AE6" i="12" s="1"/>
  <c r="AF4" i="12"/>
  <c r="Z30" i="12"/>
  <c r="AD5" i="12"/>
  <c r="I43" i="12"/>
  <c r="AI15" i="12"/>
  <c r="Q30" i="12"/>
  <c r="AC7" i="12"/>
  <c r="AL8" i="12"/>
  <c r="AK8" i="12"/>
  <c r="AL10" i="12"/>
  <c r="AK10" i="12"/>
  <c r="X30" i="12"/>
  <c r="AD11" i="12"/>
  <c r="AL11" i="12"/>
  <c r="AK11" i="12"/>
  <c r="AL12" i="12"/>
  <c r="AK12" i="12"/>
  <c r="AL15" i="12"/>
  <c r="AK15" i="12"/>
  <c r="AL17" i="12"/>
  <c r="AK17" i="12"/>
  <c r="E30" i="12"/>
  <c r="AI7" i="12" s="1"/>
  <c r="AC18" i="12"/>
  <c r="AL18" i="12"/>
  <c r="AK18" i="12"/>
  <c r="I30" i="12"/>
  <c r="AC21" i="12"/>
  <c r="E59" i="12"/>
  <c r="D43" i="12"/>
  <c r="D35" i="12"/>
  <c r="E52" i="12"/>
  <c r="F31" i="12"/>
  <c r="E58" i="12"/>
  <c r="H31" i="12"/>
  <c r="E53" i="12"/>
  <c r="J31" i="12"/>
  <c r="E50" i="12"/>
  <c r="L31" i="12"/>
  <c r="E55" i="12"/>
  <c r="N31" i="12"/>
  <c r="E60" i="12"/>
  <c r="J43" i="12"/>
  <c r="J44" i="12" s="1"/>
  <c r="J35" i="12"/>
  <c r="P31" i="12"/>
  <c r="E54" i="12"/>
  <c r="R31" i="12"/>
  <c r="E51" i="12"/>
  <c r="T31" i="12"/>
  <c r="O43" i="12"/>
  <c r="O35" i="12"/>
  <c r="E49" i="12"/>
  <c r="P43" i="12"/>
  <c r="P44" i="12" s="1"/>
  <c r="P35" i="12"/>
  <c r="V31" i="12"/>
  <c r="AJ15" i="10"/>
  <c r="AJ14" i="10"/>
  <c r="AJ12" i="10"/>
  <c r="AJ8" i="10"/>
  <c r="AJ7" i="10"/>
  <c r="AI14" i="10"/>
  <c r="AI12" i="10"/>
  <c r="AI8" i="10"/>
  <c r="AI7" i="10"/>
  <c r="AC28" i="10"/>
  <c r="AD28" i="10"/>
  <c r="AF28" i="10" s="1"/>
  <c r="AC29" i="10"/>
  <c r="AD29" i="10"/>
  <c r="G4" i="11"/>
  <c r="G5" i="11"/>
  <c r="G6" i="11"/>
  <c r="G7" i="11"/>
  <c r="G8" i="11"/>
  <c r="G9" i="11"/>
  <c r="G10" i="11"/>
  <c r="G11" i="11"/>
  <c r="G12" i="11"/>
  <c r="G3" i="11"/>
  <c r="G2" i="11"/>
  <c r="G1" i="11"/>
  <c r="E24" i="10"/>
  <c r="C21" i="10"/>
  <c r="G21" i="10"/>
  <c r="I21" i="10"/>
  <c r="E18" i="10"/>
  <c r="F2" i="11"/>
  <c r="F3" i="11"/>
  <c r="F4" i="11"/>
  <c r="F5" i="11"/>
  <c r="F6" i="11"/>
  <c r="F7" i="11"/>
  <c r="F8" i="11"/>
  <c r="F9" i="11"/>
  <c r="F10" i="11"/>
  <c r="F11" i="11"/>
  <c r="F12" i="11"/>
  <c r="F1" i="11"/>
  <c r="F13" i="11" s="1"/>
  <c r="X11" i="10"/>
  <c r="M10" i="10"/>
  <c r="M7" i="10"/>
  <c r="Q7" i="10"/>
  <c r="K7" i="10"/>
  <c r="O7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4" i="10"/>
  <c r="AC5" i="10"/>
  <c r="Z5" i="10"/>
  <c r="AD5" i="10" s="1"/>
  <c r="W59" i="10"/>
  <c r="Z30" i="10"/>
  <c r="E57" i="10" s="1"/>
  <c r="Y30" i="10"/>
  <c r="AA30" i="10"/>
  <c r="AB30" i="10"/>
  <c r="X30" i="10"/>
  <c r="E56" i="10" s="1"/>
  <c r="W30" i="10"/>
  <c r="K61" i="10"/>
  <c r="Y35" i="10"/>
  <c r="Y34" i="10"/>
  <c r="V30" i="10"/>
  <c r="U30" i="10"/>
  <c r="T30" i="10"/>
  <c r="R30" i="10"/>
  <c r="Q30" i="10"/>
  <c r="P30" i="10"/>
  <c r="O30" i="10"/>
  <c r="N30" i="10"/>
  <c r="M30" i="10"/>
  <c r="L30" i="10"/>
  <c r="E50" i="10" s="1"/>
  <c r="K30" i="10"/>
  <c r="J30" i="10"/>
  <c r="I30" i="10"/>
  <c r="H30" i="10"/>
  <c r="AJ18" i="10" s="1"/>
  <c r="F30" i="10"/>
  <c r="E30" i="10"/>
  <c r="D30" i="10"/>
  <c r="AJ17" i="10" s="1"/>
  <c r="C30" i="10"/>
  <c r="S30" i="10"/>
  <c r="O35" i="10" s="1"/>
  <c r="AD4" i="10"/>
  <c r="AF16" i="9"/>
  <c r="AF15" i="9"/>
  <c r="AF14" i="9"/>
  <c r="AF13" i="9"/>
  <c r="AF12" i="9"/>
  <c r="AF11" i="9"/>
  <c r="AF10" i="9"/>
  <c r="AF9" i="9"/>
  <c r="AE13" i="9"/>
  <c r="AE12" i="9"/>
  <c r="AE11" i="9"/>
  <c r="AE10" i="9"/>
  <c r="AE15" i="9"/>
  <c r="AE14" i="9"/>
  <c r="AE16" i="9"/>
  <c r="AE9" i="9"/>
  <c r="AF7" i="9"/>
  <c r="AE7" i="9"/>
  <c r="AE7" i="8"/>
  <c r="AE7" i="7"/>
  <c r="AF7" i="8"/>
  <c r="W56" i="9"/>
  <c r="K58" i="9"/>
  <c r="S14" i="9"/>
  <c r="G5" i="9"/>
  <c r="I36" i="9"/>
  <c r="I36" i="8" a="1"/>
  <c r="I36" i="8"/>
  <c r="J37" i="8"/>
  <c r="Y34" i="9"/>
  <c r="Y33" i="9"/>
  <c r="X29" i="9"/>
  <c r="W29" i="9"/>
  <c r="V29" i="9"/>
  <c r="T29" i="9"/>
  <c r="S29" i="9"/>
  <c r="Q29" i="9"/>
  <c r="P29" i="9"/>
  <c r="N29" i="9"/>
  <c r="L29" i="9"/>
  <c r="AF8" i="9" s="1"/>
  <c r="J29" i="9"/>
  <c r="H29" i="9"/>
  <c r="F29" i="9"/>
  <c r="E29" i="9"/>
  <c r="D29" i="9"/>
  <c r="C29" i="9"/>
  <c r="Z28" i="9"/>
  <c r="Y28" i="9"/>
  <c r="Z27" i="9"/>
  <c r="Y27" i="9"/>
  <c r="Z26" i="9"/>
  <c r="Y26" i="9"/>
  <c r="Z25" i="9"/>
  <c r="Y25" i="9"/>
  <c r="R29" i="9"/>
  <c r="Z24" i="9"/>
  <c r="Y24" i="9"/>
  <c r="Z23" i="9"/>
  <c r="Y23" i="9"/>
  <c r="Z22" i="9"/>
  <c r="Y22" i="9"/>
  <c r="Z21" i="9"/>
  <c r="Y21" i="9"/>
  <c r="Z20" i="9"/>
  <c r="Y20" i="9"/>
  <c r="Z19" i="9"/>
  <c r="Y19" i="9"/>
  <c r="Z18" i="9"/>
  <c r="Y18" i="9"/>
  <c r="Z17" i="9"/>
  <c r="Y17" i="9"/>
  <c r="Z16" i="9"/>
  <c r="Y16" i="9"/>
  <c r="Z15" i="9"/>
  <c r="Y15" i="9"/>
  <c r="Z14" i="9"/>
  <c r="Y14" i="9"/>
  <c r="Z13" i="9"/>
  <c r="Y13" i="9"/>
  <c r="Z12" i="9"/>
  <c r="Y12" i="9"/>
  <c r="Z11" i="9"/>
  <c r="Y11" i="9"/>
  <c r="Z10" i="9"/>
  <c r="Y10" i="9"/>
  <c r="Z9" i="9"/>
  <c r="Y9" i="9"/>
  <c r="Z8" i="9"/>
  <c r="Y8" i="9"/>
  <c r="G29" i="9"/>
  <c r="Z7" i="9"/>
  <c r="Y7" i="9"/>
  <c r="Z6" i="9"/>
  <c r="Y6" i="9"/>
  <c r="M29" i="9"/>
  <c r="K29" i="9"/>
  <c r="AE8" i="9" s="1"/>
  <c r="Z5" i="9"/>
  <c r="Y5" i="9"/>
  <c r="Z4" i="9"/>
  <c r="Y4" i="9"/>
  <c r="I29" i="9"/>
  <c r="T29" i="8"/>
  <c r="E52" i="8" s="1"/>
  <c r="E58" i="8" s="1"/>
  <c r="E57" i="8"/>
  <c r="E56" i="8"/>
  <c r="E55" i="8"/>
  <c r="E54" i="8"/>
  <c r="E53" i="8"/>
  <c r="E51" i="8"/>
  <c r="E50" i="8"/>
  <c r="E49" i="8"/>
  <c r="E48" i="8"/>
  <c r="Z27" i="8"/>
  <c r="Y27" i="8"/>
  <c r="W56" i="8"/>
  <c r="U26" i="8"/>
  <c r="Y40" i="8"/>
  <c r="G40" i="8"/>
  <c r="Y33" i="8"/>
  <c r="Y34" i="8"/>
  <c r="U25" i="8"/>
  <c r="R25" i="8"/>
  <c r="C23" i="8"/>
  <c r="G23" i="8"/>
  <c r="I23" i="8"/>
  <c r="M24" i="8"/>
  <c r="U22" i="8"/>
  <c r="V41" i="8"/>
  <c r="U19" i="8"/>
  <c r="C8" i="8"/>
  <c r="G8" i="8"/>
  <c r="G29" i="8" s="1"/>
  <c r="D8" i="8"/>
  <c r="U7" i="8"/>
  <c r="S7" i="8"/>
  <c r="I5" i="8"/>
  <c r="E5" i="8"/>
  <c r="C5" i="8"/>
  <c r="C29" i="8" s="1"/>
  <c r="O6" i="8"/>
  <c r="K6" i="8"/>
  <c r="M6" i="8"/>
  <c r="S4" i="8"/>
  <c r="S29" i="8" s="1"/>
  <c r="AE13" i="8" s="1"/>
  <c r="I4" i="8"/>
  <c r="X29" i="8"/>
  <c r="W29" i="8"/>
  <c r="V29" i="8"/>
  <c r="R29" i="8"/>
  <c r="P29" i="8"/>
  <c r="N29" i="8"/>
  <c r="AF11" i="8" s="1"/>
  <c r="L29" i="8"/>
  <c r="AF15" i="8" s="1"/>
  <c r="J29" i="8"/>
  <c r="AF9" i="8" s="1"/>
  <c r="H29" i="8"/>
  <c r="F29" i="8"/>
  <c r="Z28" i="8"/>
  <c r="Y28" i="8"/>
  <c r="Z26" i="8"/>
  <c r="Y26" i="8"/>
  <c r="Z25" i="8"/>
  <c r="Y25" i="8"/>
  <c r="Z24" i="8"/>
  <c r="Y24" i="8"/>
  <c r="Z23" i="8"/>
  <c r="Y23" i="8"/>
  <c r="Z22" i="8"/>
  <c r="Y22" i="8"/>
  <c r="Q29" i="8"/>
  <c r="Z21" i="8"/>
  <c r="Y21" i="8"/>
  <c r="Z20" i="8"/>
  <c r="Y20" i="8"/>
  <c r="E29" i="8"/>
  <c r="AE8" i="8" s="1"/>
  <c r="Z19" i="8"/>
  <c r="Y19" i="8"/>
  <c r="Z18" i="8"/>
  <c r="M29" i="8"/>
  <c r="AE11" i="8" s="1"/>
  <c r="Y18" i="8"/>
  <c r="Z17" i="8"/>
  <c r="Y17" i="8"/>
  <c r="Z16" i="8"/>
  <c r="U29" i="8"/>
  <c r="AE16" i="8" s="1"/>
  <c r="Y16" i="8"/>
  <c r="K29" i="8"/>
  <c r="Z15" i="8"/>
  <c r="Y15" i="8"/>
  <c r="Z14" i="8"/>
  <c r="Y14" i="8"/>
  <c r="Z13" i="8"/>
  <c r="Y13" i="8"/>
  <c r="Z12" i="8"/>
  <c r="Y12" i="8"/>
  <c r="Z11" i="8"/>
  <c r="Y11" i="8"/>
  <c r="Z10" i="8"/>
  <c r="Y10" i="8"/>
  <c r="Z9" i="8"/>
  <c r="Y9" i="8"/>
  <c r="Z7" i="8"/>
  <c r="Y7" i="8"/>
  <c r="Z6" i="8"/>
  <c r="Z5" i="8"/>
  <c r="Z4" i="8"/>
  <c r="AB4" i="8" s="1"/>
  <c r="Y4" i="8"/>
  <c r="AA4" i="8" s="1"/>
  <c r="I32" i="7"/>
  <c r="I31" i="7"/>
  <c r="G27" i="7"/>
  <c r="U27" i="7"/>
  <c r="Y27" i="7" s="1"/>
  <c r="Z27" i="7"/>
  <c r="Z28" i="7"/>
  <c r="Y28" i="7"/>
  <c r="X29" i="7"/>
  <c r="W29" i="7"/>
  <c r="Z26" i="7"/>
  <c r="U26" i="7"/>
  <c r="Q26" i="7"/>
  <c r="M26" i="7"/>
  <c r="G26" i="7"/>
  <c r="Q25" i="7"/>
  <c r="S25" i="7"/>
  <c r="O25" i="7"/>
  <c r="I24" i="7"/>
  <c r="M24" i="7"/>
  <c r="G24" i="7"/>
  <c r="S22" i="7"/>
  <c r="U22" i="7"/>
  <c r="Q22" i="7"/>
  <c r="O22" i="7"/>
  <c r="M21" i="7"/>
  <c r="K21" i="7"/>
  <c r="I21" i="7"/>
  <c r="U20" i="7"/>
  <c r="E20" i="7"/>
  <c r="E29" i="7" s="1"/>
  <c r="AE8" i="7" s="1"/>
  <c r="G20" i="7"/>
  <c r="M18" i="7"/>
  <c r="K18" i="7"/>
  <c r="I18" i="7"/>
  <c r="Q16" i="7"/>
  <c r="G16" i="7"/>
  <c r="U16" i="7"/>
  <c r="K16" i="7"/>
  <c r="I12" i="7"/>
  <c r="K12" i="7"/>
  <c r="V29" i="7"/>
  <c r="AF16" i="7" s="1"/>
  <c r="T29" i="7"/>
  <c r="AF15" i="7" s="1"/>
  <c r="R29" i="7"/>
  <c r="AF14" i="7" s="1"/>
  <c r="P29" i="7"/>
  <c r="AF13" i="7" s="1"/>
  <c r="N29" i="7"/>
  <c r="AF12" i="7" s="1"/>
  <c r="L29" i="7"/>
  <c r="AF11" i="7" s="1"/>
  <c r="J29" i="7"/>
  <c r="AF10" i="7" s="1"/>
  <c r="F29" i="7"/>
  <c r="AF8" i="7" s="1"/>
  <c r="D29" i="7"/>
  <c r="AF7" i="7" s="1"/>
  <c r="C29" i="7"/>
  <c r="Z25" i="7"/>
  <c r="Z24" i="7"/>
  <c r="Z23" i="7"/>
  <c r="Y23" i="7"/>
  <c r="Z22" i="7"/>
  <c r="Z21" i="7"/>
  <c r="Z20" i="7"/>
  <c r="Z19" i="7"/>
  <c r="Y19" i="7"/>
  <c r="Z18" i="7"/>
  <c r="Z17" i="7"/>
  <c r="Y17" i="7"/>
  <c r="Z16" i="7"/>
  <c r="Z15" i="7"/>
  <c r="Y15" i="7"/>
  <c r="H29" i="7"/>
  <c r="AF9" i="7" s="1"/>
  <c r="Z14" i="7"/>
  <c r="Y14" i="7"/>
  <c r="Z13" i="7"/>
  <c r="Y13" i="7"/>
  <c r="Z12" i="7"/>
  <c r="Z11" i="7"/>
  <c r="Y11" i="7"/>
  <c r="Z10" i="7"/>
  <c r="Y10" i="7"/>
  <c r="Z9" i="7"/>
  <c r="Y9" i="7"/>
  <c r="Z8" i="7"/>
  <c r="Y8" i="7"/>
  <c r="Z7" i="7"/>
  <c r="Y7" i="7"/>
  <c r="Z6" i="7"/>
  <c r="Y6" i="7"/>
  <c r="Z5" i="7"/>
  <c r="Y5" i="7"/>
  <c r="Z4" i="7"/>
  <c r="AB4" i="7" s="1"/>
  <c r="Y4" i="7"/>
  <c r="AA4" i="7" s="1"/>
  <c r="O26" i="6"/>
  <c r="W26" i="6" s="1"/>
  <c r="J25" i="6"/>
  <c r="H15" i="6"/>
  <c r="I33" i="6"/>
  <c r="X25" i="6"/>
  <c r="W25" i="6"/>
  <c r="V27" i="6"/>
  <c r="U27" i="6"/>
  <c r="R27" i="6"/>
  <c r="Q27" i="6"/>
  <c r="P27" i="6"/>
  <c r="N27" i="6"/>
  <c r="M27" i="6"/>
  <c r="L27" i="6"/>
  <c r="K27" i="6"/>
  <c r="H27" i="6"/>
  <c r="G27" i="6"/>
  <c r="E27" i="6"/>
  <c r="D27" i="6"/>
  <c r="C27" i="6"/>
  <c r="X26" i="6"/>
  <c r="X24" i="6"/>
  <c r="W24" i="6"/>
  <c r="X23" i="6"/>
  <c r="W23" i="6"/>
  <c r="X22" i="6"/>
  <c r="W22" i="6"/>
  <c r="W21" i="6"/>
  <c r="X21" i="6"/>
  <c r="W20" i="6"/>
  <c r="J27" i="6"/>
  <c r="X19" i="6"/>
  <c r="W19" i="6"/>
  <c r="X18" i="6"/>
  <c r="W18" i="6"/>
  <c r="X17" i="6"/>
  <c r="W17" i="6"/>
  <c r="X16" i="6"/>
  <c r="W16" i="6"/>
  <c r="X15" i="6"/>
  <c r="W15" i="6"/>
  <c r="X14" i="6"/>
  <c r="W14" i="6"/>
  <c r="X13" i="6"/>
  <c r="W13" i="6"/>
  <c r="X12" i="6"/>
  <c r="W12" i="6"/>
  <c r="X11" i="6"/>
  <c r="W11" i="6"/>
  <c r="X10" i="6"/>
  <c r="W10" i="6"/>
  <c r="X9" i="6"/>
  <c r="W9" i="6"/>
  <c r="X8" i="6"/>
  <c r="W8" i="6"/>
  <c r="X7" i="6"/>
  <c r="W7" i="6"/>
  <c r="X6" i="6"/>
  <c r="W6" i="6"/>
  <c r="X5" i="6"/>
  <c r="W5" i="6"/>
  <c r="S27" i="6"/>
  <c r="I27" i="6"/>
  <c r="W4" i="6"/>
  <c r="F27" i="6"/>
  <c r="J27" i="5"/>
  <c r="Z31" i="12" l="1"/>
  <c r="I33" i="12"/>
  <c r="I32" i="12"/>
  <c r="I34" i="12" s="1"/>
  <c r="P36" i="12"/>
  <c r="Q35" i="12"/>
  <c r="AI13" i="12"/>
  <c r="C43" i="12"/>
  <c r="D44" i="12" s="1"/>
  <c r="C35" i="12"/>
  <c r="I39" i="12"/>
  <c r="AL7" i="12"/>
  <c r="AK7" i="12"/>
  <c r="E56" i="12"/>
  <c r="X31" i="12"/>
  <c r="AJ16" i="12"/>
  <c r="AC30" i="12"/>
  <c r="AI14" i="12"/>
  <c r="I35" i="12"/>
  <c r="AD30" i="12"/>
  <c r="E57" i="12"/>
  <c r="AJ9" i="12"/>
  <c r="AF5" i="12"/>
  <c r="AG4" i="12"/>
  <c r="AE7" i="12"/>
  <c r="AE8" i="12" s="1"/>
  <c r="AE9" i="12" s="1"/>
  <c r="AE10" i="12" s="1"/>
  <c r="AE11" i="12" s="1"/>
  <c r="AE12" i="12" s="1"/>
  <c r="AE13" i="12" s="1"/>
  <c r="AE14" i="12" s="1"/>
  <c r="AE15" i="12" s="1"/>
  <c r="AE16" i="12" s="1"/>
  <c r="AE17" i="12" s="1"/>
  <c r="AE18" i="12" s="1"/>
  <c r="AE19" i="12" s="1"/>
  <c r="AE20" i="12" s="1"/>
  <c r="AE21" i="12" s="1"/>
  <c r="AE22" i="12" s="1"/>
  <c r="AE23" i="12" s="1"/>
  <c r="AE24" i="12" s="1"/>
  <c r="AE25" i="12" s="1"/>
  <c r="AE26" i="12" s="1"/>
  <c r="AE27" i="12" s="1"/>
  <c r="AE28" i="12" s="1"/>
  <c r="AE29" i="12" s="1"/>
  <c r="AF29" i="10"/>
  <c r="AI17" i="10"/>
  <c r="P35" i="10"/>
  <c r="E51" i="10"/>
  <c r="E53" i="10"/>
  <c r="I33" i="10"/>
  <c r="E55" i="10"/>
  <c r="J35" i="10"/>
  <c r="I35" i="10"/>
  <c r="E58" i="10"/>
  <c r="E59" i="10"/>
  <c r="AL8" i="10"/>
  <c r="X31" i="10"/>
  <c r="Z31" i="10"/>
  <c r="D31" i="10"/>
  <c r="AK10" i="10"/>
  <c r="F31" i="10"/>
  <c r="R31" i="10"/>
  <c r="AL14" i="10"/>
  <c r="P43" i="10"/>
  <c r="AD30" i="10"/>
  <c r="J31" i="10"/>
  <c r="L31" i="10"/>
  <c r="E54" i="10"/>
  <c r="AL7" i="10"/>
  <c r="P31" i="10"/>
  <c r="E60" i="10"/>
  <c r="AK13" i="10"/>
  <c r="O43" i="10"/>
  <c r="AK15" i="10"/>
  <c r="AL11" i="10"/>
  <c r="AK11" i="10"/>
  <c r="AL15" i="10"/>
  <c r="N31" i="10"/>
  <c r="AK8" i="10"/>
  <c r="AC30" i="10"/>
  <c r="AE4" i="10"/>
  <c r="AE5" i="10" s="1"/>
  <c r="AE6" i="10" s="1"/>
  <c r="AE7" i="10" s="1"/>
  <c r="AE8" i="10" s="1"/>
  <c r="AE9" i="10" s="1"/>
  <c r="AE10" i="10" s="1"/>
  <c r="AE11" i="10" s="1"/>
  <c r="AE12" i="10" s="1"/>
  <c r="AE13" i="10" s="1"/>
  <c r="AE14" i="10" s="1"/>
  <c r="AE15" i="10" s="1"/>
  <c r="AE16" i="10" s="1"/>
  <c r="AE17" i="10" s="1"/>
  <c r="AE18" i="10" s="1"/>
  <c r="AE19" i="10" s="1"/>
  <c r="AE20" i="10" s="1"/>
  <c r="AE21" i="10" s="1"/>
  <c r="AE22" i="10" s="1"/>
  <c r="AE23" i="10" s="1"/>
  <c r="AE24" i="10" s="1"/>
  <c r="AE25" i="10" s="1"/>
  <c r="AE26" i="10" s="1"/>
  <c r="AE27" i="10" s="1"/>
  <c r="AE28" i="10" s="1"/>
  <c r="E49" i="10"/>
  <c r="AF4" i="10"/>
  <c r="T31" i="10"/>
  <c r="V31" i="10"/>
  <c r="E52" i="10"/>
  <c r="G30" i="10"/>
  <c r="D43" i="10"/>
  <c r="D35" i="10"/>
  <c r="I43" i="10"/>
  <c r="J43" i="10"/>
  <c r="E56" i="9"/>
  <c r="E57" i="9"/>
  <c r="E51" i="9"/>
  <c r="E54" i="9"/>
  <c r="E49" i="9"/>
  <c r="E48" i="9"/>
  <c r="E53" i="9"/>
  <c r="T30" i="9"/>
  <c r="E55" i="9"/>
  <c r="AG7" i="9"/>
  <c r="J42" i="9"/>
  <c r="D42" i="9"/>
  <c r="E50" i="9"/>
  <c r="P34" i="9"/>
  <c r="AH7" i="9"/>
  <c r="F30" i="9"/>
  <c r="Z29" i="9"/>
  <c r="AB4" i="9"/>
  <c r="AB5" i="9" s="1"/>
  <c r="E52" i="9"/>
  <c r="C42" i="9"/>
  <c r="AB6" i="9"/>
  <c r="AH11" i="9"/>
  <c r="R30" i="9"/>
  <c r="Y29" i="9"/>
  <c r="AA4" i="9"/>
  <c r="AA5" i="9" s="1"/>
  <c r="H30" i="9"/>
  <c r="N30" i="9"/>
  <c r="P42" i="9"/>
  <c r="AG11" i="9"/>
  <c r="I32" i="9"/>
  <c r="AC4" i="9"/>
  <c r="AG13" i="9"/>
  <c r="C34" i="9"/>
  <c r="D30" i="9"/>
  <c r="D34" i="9"/>
  <c r="J34" i="9"/>
  <c r="U29" i="9"/>
  <c r="J30" i="9"/>
  <c r="O29" i="9"/>
  <c r="L30" i="9"/>
  <c r="AF13" i="8"/>
  <c r="Z8" i="8"/>
  <c r="D29" i="8"/>
  <c r="O42" i="8"/>
  <c r="AE12" i="8"/>
  <c r="AF14" i="8"/>
  <c r="J42" i="8"/>
  <c r="AF10" i="8"/>
  <c r="P42" i="8"/>
  <c r="AF16" i="8"/>
  <c r="V30" i="8"/>
  <c r="J34" i="8"/>
  <c r="Y8" i="8"/>
  <c r="AF8" i="8"/>
  <c r="AG8" i="8" s="1"/>
  <c r="P34" i="8"/>
  <c r="Y6" i="8"/>
  <c r="O34" i="8"/>
  <c r="O29" i="8"/>
  <c r="AE10" i="8"/>
  <c r="AG10" i="8" s="1"/>
  <c r="AE15" i="8"/>
  <c r="AH15" i="8" s="1"/>
  <c r="Y5" i="8"/>
  <c r="I29" i="8"/>
  <c r="AH11" i="8"/>
  <c r="AH7" i="8"/>
  <c r="L30" i="8"/>
  <c r="N30" i="8"/>
  <c r="T30" i="8"/>
  <c r="AH16" i="8"/>
  <c r="AB5" i="8"/>
  <c r="AC4" i="8"/>
  <c r="F30" i="8"/>
  <c r="Z29" i="8"/>
  <c r="AG16" i="8"/>
  <c r="R30" i="8"/>
  <c r="AG7" i="8"/>
  <c r="H30" i="8"/>
  <c r="AB5" i="7"/>
  <c r="Y21" i="7"/>
  <c r="Y26" i="7"/>
  <c r="AA5" i="7"/>
  <c r="AA6" i="7" s="1"/>
  <c r="AA7" i="7" s="1"/>
  <c r="AA8" i="7" s="1"/>
  <c r="AA9" i="7" s="1"/>
  <c r="AA10" i="7" s="1"/>
  <c r="AA11" i="7" s="1"/>
  <c r="Y20" i="7"/>
  <c r="Q29" i="7"/>
  <c r="AE14" i="7" s="1"/>
  <c r="AG14" i="7" s="1"/>
  <c r="M29" i="7"/>
  <c r="AE12" i="7" s="1"/>
  <c r="AG12" i="7" s="1"/>
  <c r="Y25" i="7"/>
  <c r="S29" i="7"/>
  <c r="AE15" i="7" s="1"/>
  <c r="AH15" i="7" s="1"/>
  <c r="O29" i="7"/>
  <c r="AE13" i="7" s="1"/>
  <c r="AH13" i="7" s="1"/>
  <c r="Y24" i="7"/>
  <c r="G29" i="7"/>
  <c r="AE9" i="7" s="1"/>
  <c r="AH9" i="7" s="1"/>
  <c r="Y22" i="7"/>
  <c r="Y18" i="7"/>
  <c r="K29" i="7"/>
  <c r="AE11" i="7" s="1"/>
  <c r="AG11" i="7" s="1"/>
  <c r="I29" i="7"/>
  <c r="AE10" i="7" s="1"/>
  <c r="AH10" i="7" s="1"/>
  <c r="AB6" i="7"/>
  <c r="AC5" i="7"/>
  <c r="AC4" i="7"/>
  <c r="Y16" i="7"/>
  <c r="U29" i="7"/>
  <c r="AE16" i="7" s="1"/>
  <c r="AG16" i="7" s="1"/>
  <c r="Y12" i="7"/>
  <c r="AA12" i="7" s="1"/>
  <c r="AA13" i="7" s="1"/>
  <c r="AA14" i="7" s="1"/>
  <c r="AA15" i="7" s="1"/>
  <c r="AA16" i="7" s="1"/>
  <c r="AA17" i="7" s="1"/>
  <c r="AA18" i="7" s="1"/>
  <c r="AA19" i="7" s="1"/>
  <c r="AA20" i="7" s="1"/>
  <c r="AA21" i="7" s="1"/>
  <c r="AA22" i="7" s="1"/>
  <c r="AA23" i="7" s="1"/>
  <c r="AG8" i="7"/>
  <c r="AH8" i="7"/>
  <c r="AG7" i="7"/>
  <c r="AH7" i="7"/>
  <c r="P40" i="7"/>
  <c r="Z29" i="7"/>
  <c r="J34" i="7"/>
  <c r="D40" i="7"/>
  <c r="F30" i="7"/>
  <c r="D34" i="7"/>
  <c r="J40" i="7"/>
  <c r="P34" i="7"/>
  <c r="D30" i="7"/>
  <c r="O27" i="6"/>
  <c r="O38" i="6" s="1"/>
  <c r="N28" i="6"/>
  <c r="D28" i="6"/>
  <c r="J28" i="6"/>
  <c r="F28" i="6"/>
  <c r="R28" i="6"/>
  <c r="L28" i="6"/>
  <c r="H28" i="6"/>
  <c r="X4" i="6"/>
  <c r="C32" i="6"/>
  <c r="J32" i="6"/>
  <c r="J38" i="6"/>
  <c r="I38" i="6"/>
  <c r="I32" i="6"/>
  <c r="T27" i="6"/>
  <c r="T28" i="6" s="1"/>
  <c r="D32" i="6"/>
  <c r="X20" i="6"/>
  <c r="W27" i="6"/>
  <c r="C38" i="6"/>
  <c r="D38" i="6"/>
  <c r="Y24" i="5"/>
  <c r="Y25" i="5" s="1"/>
  <c r="Y26" i="5" s="1"/>
  <c r="AF6" i="12" l="1"/>
  <c r="AG5" i="12"/>
  <c r="AL9" i="12"/>
  <c r="AK9" i="12"/>
  <c r="J36" i="12"/>
  <c r="K35" i="12"/>
  <c r="AL14" i="12"/>
  <c r="AK14" i="12"/>
  <c r="AL16" i="12"/>
  <c r="AK16" i="12"/>
  <c r="E62" i="12"/>
  <c r="D36" i="12"/>
  <c r="E35" i="12"/>
  <c r="AL13" i="12"/>
  <c r="AK13" i="12"/>
  <c r="AG28" i="10"/>
  <c r="AE29" i="10"/>
  <c r="AG29" i="10" s="1"/>
  <c r="C35" i="10"/>
  <c r="AI18" i="10"/>
  <c r="AK17" i="10"/>
  <c r="AL17" i="10"/>
  <c r="AL10" i="10"/>
  <c r="I32" i="10"/>
  <c r="I34" i="10" s="1"/>
  <c r="I39" i="10" s="1"/>
  <c r="P44" i="10"/>
  <c r="AK14" i="10"/>
  <c r="J44" i="10"/>
  <c r="C43" i="10"/>
  <c r="D44" i="10" s="1"/>
  <c r="AL13" i="10"/>
  <c r="J36" i="10"/>
  <c r="AK7" i="10"/>
  <c r="K35" i="10"/>
  <c r="H31" i="10"/>
  <c r="P36" i="10"/>
  <c r="Q35" i="10"/>
  <c r="AL9" i="10"/>
  <c r="AK9" i="10"/>
  <c r="AL12" i="10"/>
  <c r="AK12" i="10"/>
  <c r="AF5" i="10"/>
  <c r="AG4" i="10"/>
  <c r="E35" i="10"/>
  <c r="D36" i="10"/>
  <c r="E61" i="10"/>
  <c r="AH15" i="9"/>
  <c r="AG15" i="9"/>
  <c r="D43" i="9"/>
  <c r="AA6" i="9"/>
  <c r="AA7" i="9" s="1"/>
  <c r="AA8" i="9" s="1"/>
  <c r="AA9" i="9" s="1"/>
  <c r="AA10" i="9" s="1"/>
  <c r="AA11" i="9" s="1"/>
  <c r="AA12" i="9" s="1"/>
  <c r="AA13" i="9" s="1"/>
  <c r="AA14" i="9" s="1"/>
  <c r="AA15" i="9" s="1"/>
  <c r="AA16" i="9" s="1"/>
  <c r="AA17" i="9" s="1"/>
  <c r="AA18" i="9" s="1"/>
  <c r="AA19" i="9" s="1"/>
  <c r="AA20" i="9" s="1"/>
  <c r="AA21" i="9" s="1"/>
  <c r="AA22" i="9" s="1"/>
  <c r="AA23" i="9" s="1"/>
  <c r="AA24" i="9" s="1"/>
  <c r="AA25" i="9" s="1"/>
  <c r="AA26" i="9" s="1"/>
  <c r="AA27" i="9" s="1"/>
  <c r="AC5" i="9"/>
  <c r="I42" i="9"/>
  <c r="J43" i="9" s="1"/>
  <c r="I34" i="9"/>
  <c r="P30" i="9"/>
  <c r="AG9" i="9"/>
  <c r="AH9" i="9"/>
  <c r="E58" i="9"/>
  <c r="I31" i="9"/>
  <c r="I33" i="9" s="1"/>
  <c r="I38" i="9" s="1"/>
  <c r="AH13" i="9"/>
  <c r="AH10" i="9"/>
  <c r="AG10" i="9"/>
  <c r="O34" i="9"/>
  <c r="V30" i="9"/>
  <c r="O42" i="9"/>
  <c r="P43" i="9" s="1"/>
  <c r="AC6" i="9"/>
  <c r="AB7" i="9"/>
  <c r="K34" i="9"/>
  <c r="J35" i="9"/>
  <c r="AH12" i="9"/>
  <c r="AG12" i="9"/>
  <c r="D35" i="9"/>
  <c r="E34" i="9"/>
  <c r="P35" i="8"/>
  <c r="AE9" i="8"/>
  <c r="C42" i="8"/>
  <c r="AF12" i="8"/>
  <c r="AG12" i="8" s="1"/>
  <c r="D42" i="8"/>
  <c r="AE14" i="8"/>
  <c r="AG14" i="8" s="1"/>
  <c r="I42" i="8"/>
  <c r="D43" i="8"/>
  <c r="I32" i="8"/>
  <c r="AH12" i="8"/>
  <c r="D30" i="8"/>
  <c r="D34" i="8"/>
  <c r="AH14" i="8"/>
  <c r="P30" i="8"/>
  <c r="P43" i="8"/>
  <c r="I34" i="8"/>
  <c r="Y29" i="8"/>
  <c r="J30" i="8"/>
  <c r="J43" i="8"/>
  <c r="C34" i="8"/>
  <c r="D35" i="8" s="1"/>
  <c r="AA5" i="8"/>
  <c r="AA6" i="8" s="1"/>
  <c r="AA7" i="8" s="1"/>
  <c r="AA8" i="8" s="1"/>
  <c r="AA9" i="8" s="1"/>
  <c r="AA10" i="8" s="1"/>
  <c r="AA11" i="8" s="1"/>
  <c r="AA12" i="8" s="1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I31" i="8"/>
  <c r="AG11" i="8"/>
  <c r="AG15" i="8"/>
  <c r="AH8" i="8"/>
  <c r="Q34" i="8"/>
  <c r="AH10" i="8"/>
  <c r="AG9" i="8"/>
  <c r="AH9" i="8"/>
  <c r="AB6" i="8"/>
  <c r="AH13" i="8"/>
  <c r="AG13" i="8"/>
  <c r="AH14" i="7"/>
  <c r="R30" i="7"/>
  <c r="AH12" i="7"/>
  <c r="N30" i="7"/>
  <c r="T30" i="7"/>
  <c r="O40" i="7"/>
  <c r="P41" i="7" s="1"/>
  <c r="O34" i="7"/>
  <c r="Q34" i="7" s="1"/>
  <c r="P30" i="7"/>
  <c r="Y29" i="7"/>
  <c r="AG15" i="7"/>
  <c r="AG13" i="7"/>
  <c r="H30" i="7"/>
  <c r="AA24" i="7"/>
  <c r="AG9" i="7"/>
  <c r="C40" i="7"/>
  <c r="D41" i="7" s="1"/>
  <c r="C34" i="7"/>
  <c r="E34" i="7" s="1"/>
  <c r="AH11" i="7"/>
  <c r="L30" i="7"/>
  <c r="I33" i="7"/>
  <c r="I36" i="7" s="1"/>
  <c r="J30" i="7"/>
  <c r="AH16" i="7"/>
  <c r="I34" i="7"/>
  <c r="K34" i="7" s="1"/>
  <c r="I40" i="7"/>
  <c r="J41" i="7" s="1"/>
  <c r="AG10" i="7"/>
  <c r="AC6" i="7"/>
  <c r="AB7" i="7"/>
  <c r="O32" i="6"/>
  <c r="I29" i="6"/>
  <c r="P28" i="6"/>
  <c r="X27" i="6"/>
  <c r="E32" i="6"/>
  <c r="J39" i="6"/>
  <c r="P38" i="6"/>
  <c r="P39" i="6" s="1"/>
  <c r="K32" i="6"/>
  <c r="D39" i="6"/>
  <c r="I30" i="6"/>
  <c r="P32" i="6"/>
  <c r="AF7" i="12" l="1"/>
  <c r="AG6" i="12"/>
  <c r="AK18" i="10"/>
  <c r="AL18" i="10"/>
  <c r="AF6" i="10"/>
  <c r="AG5" i="10"/>
  <c r="AK16" i="10"/>
  <c r="AL16" i="10"/>
  <c r="AH16" i="9"/>
  <c r="AG16" i="9"/>
  <c r="AC7" i="9"/>
  <c r="AB8" i="9"/>
  <c r="AH14" i="9"/>
  <c r="AG14" i="9"/>
  <c r="Q34" i="9"/>
  <c r="P35" i="9"/>
  <c r="K34" i="8"/>
  <c r="J35" i="8"/>
  <c r="I33" i="8"/>
  <c r="I38" i="8" s="1"/>
  <c r="E34" i="8"/>
  <c r="AC5" i="8"/>
  <c r="AA25" i="8"/>
  <c r="AA26" i="8" s="1"/>
  <c r="AB7" i="8"/>
  <c r="AC6" i="8"/>
  <c r="AA25" i="7"/>
  <c r="AA26" i="7"/>
  <c r="AC7" i="7"/>
  <c r="AB8" i="7"/>
  <c r="Q32" i="6"/>
  <c r="I31" i="6"/>
  <c r="I34" i="6" s="1"/>
  <c r="T22" i="5"/>
  <c r="AF8" i="12" l="1"/>
  <c r="AG7" i="12"/>
  <c r="AG6" i="10"/>
  <c r="AF7" i="10"/>
  <c r="AB9" i="9"/>
  <c r="AC8" i="9"/>
  <c r="AB8" i="8"/>
  <c r="AC7" i="8"/>
  <c r="AA28" i="7"/>
  <c r="AA27" i="7"/>
  <c r="AB9" i="7"/>
  <c r="AC8" i="7"/>
  <c r="J21" i="5"/>
  <c r="AF9" i="12" l="1"/>
  <c r="AG8" i="12"/>
  <c r="AF8" i="10"/>
  <c r="AG7" i="10"/>
  <c r="AC9" i="9"/>
  <c r="AB10" i="9"/>
  <c r="AB9" i="8"/>
  <c r="AC8" i="8"/>
  <c r="AC9" i="7"/>
  <c r="AB10" i="7"/>
  <c r="R27" i="5"/>
  <c r="Q27" i="5"/>
  <c r="P27" i="5"/>
  <c r="O27" i="5"/>
  <c r="N27" i="5"/>
  <c r="M27" i="5"/>
  <c r="L27" i="5"/>
  <c r="K27" i="5"/>
  <c r="AF10" i="12" l="1"/>
  <c r="AG9" i="12"/>
  <c r="AG8" i="10"/>
  <c r="AF9" i="10"/>
  <c r="AC10" i="9"/>
  <c r="AB11" i="9"/>
  <c r="AB10" i="8"/>
  <c r="AC9" i="8"/>
  <c r="AC10" i="7"/>
  <c r="AB11" i="7"/>
  <c r="R28" i="5"/>
  <c r="L28" i="5"/>
  <c r="N28" i="5"/>
  <c r="P28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Y23" i="5" s="1"/>
  <c r="W24" i="5"/>
  <c r="W25" i="5"/>
  <c r="W26" i="5"/>
  <c r="W4" i="5"/>
  <c r="Y4" i="5" s="1"/>
  <c r="AF11" i="12" l="1"/>
  <c r="AG10" i="12"/>
  <c r="AF10" i="10"/>
  <c r="AG9" i="10"/>
  <c r="AB12" i="9"/>
  <c r="AC11" i="9"/>
  <c r="AB11" i="8"/>
  <c r="AC10" i="8"/>
  <c r="AB12" i="7"/>
  <c r="AC11" i="7"/>
  <c r="S5" i="5"/>
  <c r="I5" i="5"/>
  <c r="AF12" i="12" l="1"/>
  <c r="AG11" i="12"/>
  <c r="AF11" i="10"/>
  <c r="AG10" i="10"/>
  <c r="AC12" i="9"/>
  <c r="AB13" i="9"/>
  <c r="AB12" i="8"/>
  <c r="AC11" i="8"/>
  <c r="AB13" i="7"/>
  <c r="AC12" i="7"/>
  <c r="W5" i="5"/>
  <c r="T27" i="5"/>
  <c r="S27" i="5"/>
  <c r="O32" i="5" s="1"/>
  <c r="AF13" i="12" l="1"/>
  <c r="AG12" i="12"/>
  <c r="AG11" i="10"/>
  <c r="AF12" i="10"/>
  <c r="AB14" i="9"/>
  <c r="AC13" i="9"/>
  <c r="AC12" i="8"/>
  <c r="AB13" i="8"/>
  <c r="AB14" i="7"/>
  <c r="AC13" i="7"/>
  <c r="W27" i="5"/>
  <c r="Y5" i="5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P38" i="5"/>
  <c r="P32" i="5"/>
  <c r="Q32" i="5" s="1"/>
  <c r="T28" i="5"/>
  <c r="O38" i="5"/>
  <c r="V27" i="5"/>
  <c r="U27" i="5"/>
  <c r="D27" i="5"/>
  <c r="C27" i="5"/>
  <c r="I27" i="5"/>
  <c r="H27" i="5"/>
  <c r="G27" i="5"/>
  <c r="F4" i="5"/>
  <c r="X4" i="5" s="1"/>
  <c r="AF14" i="12" l="1"/>
  <c r="AG13" i="12"/>
  <c r="AF13" i="10"/>
  <c r="AG12" i="10"/>
  <c r="AC14" i="9"/>
  <c r="AB15" i="9"/>
  <c r="AB14" i="8"/>
  <c r="AC13" i="8"/>
  <c r="AC14" i="7"/>
  <c r="AB15" i="7"/>
  <c r="Z4" i="5"/>
  <c r="X27" i="5"/>
  <c r="F27" i="5"/>
  <c r="I30" i="5" s="1"/>
  <c r="P39" i="5"/>
  <c r="J32" i="5"/>
  <c r="J38" i="5"/>
  <c r="J28" i="5"/>
  <c r="I32" i="5"/>
  <c r="I38" i="5"/>
  <c r="H28" i="5"/>
  <c r="D28" i="5"/>
  <c r="E27" i="5"/>
  <c r="AF15" i="12" l="1"/>
  <c r="AG14" i="12"/>
  <c r="AG13" i="10"/>
  <c r="AF14" i="10"/>
  <c r="AB16" i="9"/>
  <c r="AC15" i="9"/>
  <c r="AC14" i="8"/>
  <c r="AB15" i="8"/>
  <c r="AC15" i="7"/>
  <c r="AB16" i="7"/>
  <c r="D38" i="5"/>
  <c r="D32" i="5"/>
  <c r="F28" i="5"/>
  <c r="AA4" i="5"/>
  <c r="Z5" i="5"/>
  <c r="K32" i="5"/>
  <c r="J39" i="5"/>
  <c r="C32" i="5"/>
  <c r="E32" i="5" s="1"/>
  <c r="C38" i="5"/>
  <c r="I29" i="5"/>
  <c r="I31" i="5" s="1"/>
  <c r="I34" i="5" s="1"/>
  <c r="K11" i="1"/>
  <c r="K9" i="1"/>
  <c r="K8" i="1"/>
  <c r="K7" i="1"/>
  <c r="K6" i="1"/>
  <c r="J9" i="1"/>
  <c r="J11" i="1"/>
  <c r="J10" i="1"/>
  <c r="J8" i="1"/>
  <c r="J7" i="1"/>
  <c r="J6" i="1"/>
  <c r="K5" i="1"/>
  <c r="J5" i="1"/>
  <c r="K4" i="1"/>
  <c r="F66" i="1"/>
  <c r="G66" i="1" s="1"/>
  <c r="F65" i="1"/>
  <c r="G65" i="1" s="1"/>
  <c r="F64" i="1"/>
  <c r="G64" i="1" s="1"/>
  <c r="F63" i="1"/>
  <c r="G63" i="1" s="1"/>
  <c r="F62" i="1"/>
  <c r="G62" i="1" s="1"/>
  <c r="F60" i="1"/>
  <c r="G60" i="1" s="1"/>
  <c r="F59" i="1"/>
  <c r="G59" i="1" s="1"/>
  <c r="AF16" i="12" l="1"/>
  <c r="AG15" i="12"/>
  <c r="AF15" i="10"/>
  <c r="AG14" i="10"/>
  <c r="AC16" i="9"/>
  <c r="AB17" i="9"/>
  <c r="AB16" i="8"/>
  <c r="AC15" i="8"/>
  <c r="AB17" i="7"/>
  <c r="AC16" i="7"/>
  <c r="D39" i="5"/>
  <c r="Z6" i="5"/>
  <c r="AA5" i="5"/>
  <c r="F58" i="1"/>
  <c r="G58" i="1" s="1"/>
  <c r="F57" i="1"/>
  <c r="G57" i="1" s="1"/>
  <c r="AF17" i="12" l="1"/>
  <c r="AG16" i="12"/>
  <c r="AG15" i="10"/>
  <c r="AF16" i="10"/>
  <c r="AB18" i="9"/>
  <c r="AC17" i="9"/>
  <c r="AB17" i="8"/>
  <c r="AC16" i="8"/>
  <c r="AC17" i="7"/>
  <c r="AB18" i="7"/>
  <c r="AA6" i="5"/>
  <c r="Z7" i="5"/>
  <c r="F56" i="1"/>
  <c r="G56" i="1" s="1"/>
  <c r="F55" i="1"/>
  <c r="G55" i="1"/>
  <c r="AF18" i="12" l="1"/>
  <c r="AG17" i="12"/>
  <c r="AF17" i="10"/>
  <c r="AG16" i="10"/>
  <c r="AC18" i="9"/>
  <c r="AB19" i="9"/>
  <c r="AC17" i="8"/>
  <c r="AB18" i="8"/>
  <c r="AC18" i="7"/>
  <c r="AB19" i="7"/>
  <c r="Z8" i="5"/>
  <c r="AA7" i="5"/>
  <c r="F54" i="1"/>
  <c r="G54" i="1" s="1"/>
  <c r="F53" i="1"/>
  <c r="G53" i="1"/>
  <c r="F52" i="1"/>
  <c r="G52" i="1" s="1"/>
  <c r="F51" i="1"/>
  <c r="G51" i="1"/>
  <c r="F50" i="1"/>
  <c r="G50" i="1"/>
  <c r="F49" i="1"/>
  <c r="G49" i="1" s="1"/>
  <c r="F48" i="1"/>
  <c r="G48" i="1"/>
  <c r="F47" i="1"/>
  <c r="G47" i="1"/>
  <c r="F46" i="1"/>
  <c r="G46" i="1" s="1"/>
  <c r="AF19" i="12" l="1"/>
  <c r="AG18" i="12"/>
  <c r="AG17" i="10"/>
  <c r="AF18" i="10"/>
  <c r="AC19" i="9"/>
  <c r="AB20" i="9"/>
  <c r="AC18" i="8"/>
  <c r="AB19" i="8"/>
  <c r="AB20" i="7"/>
  <c r="AC19" i="7"/>
  <c r="Z9" i="5"/>
  <c r="AA8" i="5"/>
  <c r="D44" i="1"/>
  <c r="J4" i="1" s="1"/>
  <c r="F45" i="1"/>
  <c r="G45" i="1" s="1"/>
  <c r="E42" i="1"/>
  <c r="K10" i="1" s="1"/>
  <c r="AF20" i="12" l="1"/>
  <c r="AG19" i="12"/>
  <c r="AF19" i="10"/>
  <c r="AG18" i="10"/>
  <c r="AB21" i="9"/>
  <c r="AC20" i="9"/>
  <c r="AC19" i="8"/>
  <c r="AB20" i="8"/>
  <c r="AB21" i="7"/>
  <c r="AC20" i="7"/>
  <c r="Z10" i="5"/>
  <c r="AA9" i="5"/>
  <c r="F44" i="1"/>
  <c r="G44" i="1" s="1"/>
  <c r="J13" i="1"/>
  <c r="AF21" i="12" l="1"/>
  <c r="AG20" i="12"/>
  <c r="AF20" i="10"/>
  <c r="AG19" i="10"/>
  <c r="AC21" i="9"/>
  <c r="AB22" i="9"/>
  <c r="AC20" i="8"/>
  <c r="AB21" i="8"/>
  <c r="AB22" i="7"/>
  <c r="AC21" i="7"/>
  <c r="Z11" i="5"/>
  <c r="AA10" i="5"/>
  <c r="K13" i="1"/>
  <c r="F43" i="1"/>
  <c r="G43" i="1"/>
  <c r="F42" i="1"/>
  <c r="G42" i="1" s="1"/>
  <c r="AF22" i="12" l="1"/>
  <c r="AG21" i="12"/>
  <c r="AG20" i="10"/>
  <c r="AF21" i="10"/>
  <c r="AB23" i="9"/>
  <c r="AC22" i="9"/>
  <c r="AB22" i="8"/>
  <c r="AC21" i="8"/>
  <c r="AC22" i="7"/>
  <c r="AB23" i="7"/>
  <c r="Z12" i="5"/>
  <c r="AA11" i="5"/>
  <c r="F41" i="1"/>
  <c r="G41" i="1" s="1"/>
  <c r="F40" i="1"/>
  <c r="G40" i="1"/>
  <c r="AF23" i="12" l="1"/>
  <c r="AG22" i="12"/>
  <c r="AF22" i="10"/>
  <c r="AG21" i="10"/>
  <c r="AB24" i="9"/>
  <c r="AC23" i="9"/>
  <c r="AB23" i="8"/>
  <c r="AC22" i="8"/>
  <c r="AB24" i="7"/>
  <c r="AB26" i="7" s="1"/>
  <c r="AC26" i="7" s="1"/>
  <c r="AC23" i="7"/>
  <c r="Z13" i="5"/>
  <c r="AA12" i="5"/>
  <c r="F39" i="1"/>
  <c r="G39" i="1"/>
  <c r="F38" i="1"/>
  <c r="G38" i="1" s="1"/>
  <c r="F37" i="1"/>
  <c r="G37" i="1" s="1"/>
  <c r="F36" i="1"/>
  <c r="G36" i="1"/>
  <c r="AF24" i="12" l="1"/>
  <c r="AG23" i="12"/>
  <c r="AF23" i="10"/>
  <c r="AG22" i="10"/>
  <c r="AB25" i="9"/>
  <c r="AC24" i="9"/>
  <c r="AC23" i="8"/>
  <c r="AB24" i="8"/>
  <c r="AB25" i="8" s="1"/>
  <c r="AB26" i="8" s="1"/>
  <c r="AB25" i="7"/>
  <c r="AB27" i="7" s="1"/>
  <c r="AC27" i="7" s="1"/>
  <c r="AC24" i="7"/>
  <c r="Z14" i="5"/>
  <c r="AA13" i="5"/>
  <c r="F35" i="1"/>
  <c r="G35" i="1" s="1"/>
  <c r="F34" i="1"/>
  <c r="G34" i="1" s="1"/>
  <c r="AF25" i="12" l="1"/>
  <c r="AG24" i="12"/>
  <c r="AG23" i="10"/>
  <c r="AF24" i="10"/>
  <c r="AB26" i="9"/>
  <c r="AC25" i="9"/>
  <c r="AC26" i="8"/>
  <c r="AC24" i="8"/>
  <c r="AB28" i="7"/>
  <c r="AC28" i="7" s="1"/>
  <c r="AC25" i="7"/>
  <c r="Z15" i="5"/>
  <c r="AA14" i="5"/>
  <c r="F33" i="1"/>
  <c r="G33" i="1" s="1"/>
  <c r="F32" i="1"/>
  <c r="G32" i="1" s="1"/>
  <c r="AF26" i="12" l="1"/>
  <c r="AG25" i="12"/>
  <c r="AF25" i="10"/>
  <c r="AG24" i="10"/>
  <c r="AC26" i="9"/>
  <c r="AB27" i="9"/>
  <c r="AC27" i="9" s="1"/>
  <c r="AC25" i="8"/>
  <c r="Z16" i="5"/>
  <c r="AA15" i="5"/>
  <c r="F31" i="1"/>
  <c r="G31" i="1"/>
  <c r="F30" i="1"/>
  <c r="G30" i="1" s="1"/>
  <c r="AF27" i="12" l="1"/>
  <c r="AG26" i="12"/>
  <c r="AF26" i="10"/>
  <c r="AG25" i="10"/>
  <c r="Z17" i="5"/>
  <c r="AA16" i="5"/>
  <c r="F28" i="1"/>
  <c r="G28" i="1" s="1"/>
  <c r="F29" i="1"/>
  <c r="G29" i="1" s="1"/>
  <c r="AF28" i="12" l="1"/>
  <c r="AG27" i="12"/>
  <c r="AG26" i="10"/>
  <c r="AF27" i="10"/>
  <c r="AG27" i="10" s="1"/>
  <c r="Z18" i="5"/>
  <c r="AA17" i="5"/>
  <c r="F27" i="1"/>
  <c r="G27" i="1"/>
  <c r="F26" i="1"/>
  <c r="G26" i="1" s="1"/>
  <c r="AF29" i="12" l="1"/>
  <c r="AG29" i="12" s="1"/>
  <c r="AG28" i="12"/>
  <c r="Z19" i="5"/>
  <c r="AA18" i="5"/>
  <c r="F25" i="1"/>
  <c r="G25" i="1" s="1"/>
  <c r="F24" i="1"/>
  <c r="G24" i="1" s="1"/>
  <c r="Z20" i="5" l="1"/>
  <c r="AA19" i="5"/>
  <c r="F22" i="1"/>
  <c r="G22" i="1" s="1"/>
  <c r="F23" i="1"/>
  <c r="G23" i="1" s="1"/>
  <c r="Z21" i="5" l="1"/>
  <c r="AA20" i="5"/>
  <c r="F21" i="1"/>
  <c r="G21" i="1" s="1"/>
  <c r="F20" i="1"/>
  <c r="G20" i="1" s="1"/>
  <c r="AA21" i="5" l="1"/>
  <c r="Z22" i="5"/>
  <c r="M12" i="1"/>
  <c r="AA22" i="5" l="1"/>
  <c r="Z23" i="5"/>
  <c r="L5" i="1"/>
  <c r="L6" i="1"/>
  <c r="L7" i="1"/>
  <c r="L8" i="1"/>
  <c r="L9" i="1"/>
  <c r="L10" i="1"/>
  <c r="L11" i="1"/>
  <c r="L4" i="1"/>
  <c r="F16" i="1"/>
  <c r="G16" i="1" s="1"/>
  <c r="F19" i="1"/>
  <c r="G19" i="1" s="1"/>
  <c r="F18" i="1"/>
  <c r="G18" i="1" s="1"/>
  <c r="F17" i="1"/>
  <c r="G17" i="1" s="1"/>
  <c r="Z24" i="5" l="1"/>
  <c r="AA23" i="5"/>
  <c r="M8" i="1"/>
  <c r="M10" i="1"/>
  <c r="M6" i="1"/>
  <c r="M4" i="1"/>
  <c r="F15" i="1"/>
  <c r="G15" i="1"/>
  <c r="F14" i="1"/>
  <c r="G14" i="1" s="1"/>
  <c r="F13" i="1"/>
  <c r="G13" i="1" s="1"/>
  <c r="F12" i="1"/>
  <c r="G12" i="1"/>
  <c r="Z25" i="5" l="1"/>
  <c r="AA24" i="5"/>
  <c r="G9" i="1"/>
  <c r="G10" i="1"/>
  <c r="F5" i="1"/>
  <c r="G5" i="1" s="1"/>
  <c r="F6" i="1"/>
  <c r="G6" i="1" s="1"/>
  <c r="F7" i="1"/>
  <c r="G7" i="1" s="1"/>
  <c r="F8" i="1"/>
  <c r="G8" i="1" s="1"/>
  <c r="F9" i="1"/>
  <c r="F10" i="1"/>
  <c r="F11" i="1"/>
  <c r="G11" i="1" s="1"/>
  <c r="F4" i="1"/>
  <c r="G4" i="1" s="1"/>
  <c r="AA25" i="5" l="1"/>
  <c r="Z26" i="5"/>
  <c r="AA26" i="5" s="1"/>
  <c r="AG8" i="9"/>
  <c r="AH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<sst xmlns="http://schemas.openxmlformats.org/spreadsheetml/2006/main" count="959" uniqueCount="191">
  <si>
    <t>HE_MAN PUNTERS 2019</t>
  </si>
  <si>
    <t>PUNTER TOTAL ROI</t>
  </si>
  <si>
    <t>Week</t>
  </si>
  <si>
    <t>Better</t>
  </si>
  <si>
    <t>Investment</t>
  </si>
  <si>
    <t>Return</t>
  </si>
  <si>
    <t>ROI</t>
  </si>
  <si>
    <t>Win %</t>
  </si>
  <si>
    <t>TOTAL ROI</t>
  </si>
  <si>
    <t>Scott</t>
  </si>
  <si>
    <t>Beau</t>
  </si>
  <si>
    <t>James</t>
  </si>
  <si>
    <t>BT</t>
  </si>
  <si>
    <t>Brendan</t>
  </si>
  <si>
    <t>Daniel</t>
  </si>
  <si>
    <t>Brenton</t>
  </si>
  <si>
    <t>Paul</t>
  </si>
  <si>
    <t>bonus round</t>
  </si>
  <si>
    <t>S. BAMFORD</t>
  </si>
  <si>
    <t>P. BLAKEY</t>
  </si>
  <si>
    <t>B. TURNOR</t>
  </si>
  <si>
    <t>B. JASKOLA</t>
  </si>
  <si>
    <t>K. HORNSEY</t>
  </si>
  <si>
    <t>J. VELLIOU</t>
  </si>
  <si>
    <t>D. MILEVSKI</t>
  </si>
  <si>
    <t>B. RAFFAELE</t>
  </si>
  <si>
    <t>B. SPICER</t>
  </si>
  <si>
    <t>bonus bets</t>
  </si>
  <si>
    <t>WEEKLY TOTAL</t>
  </si>
  <si>
    <t>ROUND</t>
  </si>
  <si>
    <t>INVESTMENT</t>
  </si>
  <si>
    <t>RETURN</t>
  </si>
  <si>
    <t>R1</t>
  </si>
  <si>
    <t>Dogs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</si>
  <si>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</si>
  <si>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</si>
  <si>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</si>
  <si>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</si>
  <si>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</si>
  <si>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</si>
  <si>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</si>
  <si>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</si>
  <si>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</si>
  <si>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</si>
  <si>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</si>
  <si>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</si>
  <si>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</si>
  <si>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</si>
  <si>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</si>
  <si>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</si>
  <si>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</si>
  <si>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F1</t>
  </si>
  <si>
    <t>F2</t>
  </si>
  <si>
    <t>F3</t>
  </si>
  <si>
    <t>GF</t>
  </si>
  <si>
    <t>total</t>
  </si>
  <si>
    <t>TOTAL INVESTMENT</t>
  </si>
  <si>
    <t>TOTAL RETURNS</t>
  </si>
  <si>
    <t>initial</t>
  </si>
  <si>
    <t>R19</t>
  </si>
  <si>
    <t>R20</t>
  </si>
  <si>
    <t>R21</t>
  </si>
  <si>
    <t>R22</t>
  </si>
  <si>
    <t>R23</t>
  </si>
  <si>
    <t>BALANCE OF ACC</t>
  </si>
  <si>
    <t>S. CAPOZZI</t>
  </si>
  <si>
    <t>Group BET</t>
  </si>
  <si>
    <t>bets</t>
  </si>
  <si>
    <t>return</t>
  </si>
  <si>
    <t>summary</t>
  </si>
  <si>
    <t>percentage</t>
  </si>
  <si>
    <t>moose</t>
  </si>
  <si>
    <t>bt</t>
  </si>
  <si>
    <t>blakey</t>
  </si>
  <si>
    <t>fake</t>
  </si>
  <si>
    <t>kane</t>
  </si>
  <si>
    <t>spicer</t>
  </si>
  <si>
    <t>ski</t>
  </si>
  <si>
    <t>cromps</t>
  </si>
  <si>
    <t>scott</t>
  </si>
  <si>
    <t>simmo</t>
  </si>
  <si>
    <t>Finals</t>
  </si>
  <si>
    <t>Glory</t>
  </si>
  <si>
    <t>NET RESULT AT TIME</t>
  </si>
  <si>
    <t>R24</t>
  </si>
  <si>
    <t>Deductions 25/7</t>
  </si>
  <si>
    <t>R23 left to spend</t>
  </si>
  <si>
    <t>1 leg losses @ 21/08</t>
  </si>
  <si>
    <t>Summary to be uploaded to Punters Website</t>
  </si>
  <si>
    <t>Simmo</t>
  </si>
  <si>
    <t>Name</t>
  </si>
  <si>
    <t>Winnings</t>
  </si>
  <si>
    <t>Spicer</t>
  </si>
  <si>
    <t>Ski</t>
  </si>
  <si>
    <t>Fake</t>
  </si>
  <si>
    <t>Jamsey</t>
  </si>
  <si>
    <t>Blakey</t>
  </si>
  <si>
    <t>Crompy</t>
  </si>
  <si>
    <t>Kane</t>
  </si>
  <si>
    <t>Total</t>
  </si>
  <si>
    <t>B.JASKOLA</t>
  </si>
  <si>
    <t>J.VELLIOU</t>
  </si>
  <si>
    <t>S.CAPOZZI</t>
  </si>
  <si>
    <t>K.HORNSEY</t>
  </si>
  <si>
    <t>B.TURNOR</t>
  </si>
  <si>
    <t>P.BLAKEY</t>
  </si>
  <si>
    <t>S.BAMFORD</t>
  </si>
  <si>
    <t>B.RAFFAELE</t>
  </si>
  <si>
    <t>B.SPICER</t>
  </si>
  <si>
    <t>OR</t>
  </si>
  <si>
    <t>1 leg losses @ 22nd August 2024</t>
  </si>
  <si>
    <t>Strikes for 2024 Season at 22nd August 2024</t>
  </si>
  <si>
    <t>Strikes</t>
  </si>
  <si>
    <t>C.STARKIE</t>
  </si>
  <si>
    <t>C.PANO</t>
  </si>
  <si>
    <t>D.MILEVSKI</t>
  </si>
  <si>
    <t>cam</t>
  </si>
  <si>
    <t>pano</t>
  </si>
  <si>
    <t>1 leg losses as at 25 August 2025</t>
  </si>
  <si>
    <t>Strikes for 2025 Season at 31 July 2025</t>
  </si>
  <si>
    <t>Pano</t>
  </si>
  <si>
    <t>Cam</t>
  </si>
  <si>
    <t>Punter</t>
  </si>
  <si>
    <t>Bet Amount</t>
  </si>
  <si>
    <t>Potential Winnings</t>
  </si>
  <si>
    <t>Reason</t>
  </si>
  <si>
    <t>$10 bonus</t>
  </si>
  <si>
    <t>Perth Glory</t>
  </si>
  <si>
    <t>Lachie Ash 19/20</t>
  </si>
  <si>
    <t>Bailey Fritsch anytime</t>
  </si>
  <si>
    <t>Harley Reid 12/20</t>
  </si>
  <si>
    <t>Harley Reid 12 when needed over 20.5</t>
  </si>
  <si>
    <t>Brent Daniels anytime</t>
  </si>
  <si>
    <t>Eagles Suns under 167.5, total 185</t>
  </si>
  <si>
    <t>Cripps 22/25 touches</t>
  </si>
  <si>
    <t>Jarrod Berry 17/20 touches</t>
  </si>
  <si>
    <t>Wilkie 13/20 touches</t>
  </si>
  <si>
    <t>Nathan O'Driscoll 12/20 touches</t>
  </si>
  <si>
    <t>Liverpool lost to Fulham</t>
  </si>
  <si>
    <t>Chad Warner 10/20 touches</t>
  </si>
  <si>
    <t>Stringer 0 goals, needed 2</t>
  </si>
  <si>
    <t>Sean Woodson to win</t>
  </si>
  <si>
    <t>Colby McKercher 8/15 touches</t>
  </si>
  <si>
    <t>Switkowski 6/15 touches</t>
  </si>
  <si>
    <t>Logan Morris 0/2 goals</t>
  </si>
  <si>
    <t>Sandro Tonali shot on target</t>
  </si>
  <si>
    <t>Willie Rioli 1/2 goals</t>
  </si>
  <si>
    <t>Jabari Smith 2/4 rebounds</t>
  </si>
  <si>
    <t>$6.25 bonus</t>
  </si>
  <si>
    <t>Touk Miller 25, needed over 26.5</t>
  </si>
  <si>
    <t>Merrett 19/25 touches</t>
  </si>
  <si>
    <t>Vlaustin 18/20 touches</t>
  </si>
  <si>
    <t>$5 bonus</t>
  </si>
  <si>
    <t>Jamie Elliott 1/2 goals</t>
  </si>
  <si>
    <t>Jesse Hoagn 1/2 goals</t>
  </si>
  <si>
    <t>Liam Baker 18/20 touches</t>
  </si>
  <si>
    <t>Darcy Fogarty 1/3 goals</t>
  </si>
  <si>
    <t>Julius Randle 5/19 points</t>
  </si>
  <si>
    <t>Total over under 174, total was 162</t>
  </si>
  <si>
    <t>Tommy Talau 1/2 tries scored</t>
  </si>
  <si>
    <t>Cronulla Sharks lost to NZ Warriors</t>
  </si>
  <si>
    <t>Josh Kelly 17/20 disposals</t>
  </si>
  <si>
    <t>Nick Daicos 19/25 disposals</t>
  </si>
  <si>
    <t>$7.50 bonus</t>
  </si>
  <si>
    <t>Bowey 21 of 22 disposals</t>
  </si>
  <si>
    <t>Cody Brundage KO/TKO???</t>
  </si>
  <si>
    <t>Max gawn 14/15 touches</t>
  </si>
  <si>
    <t>Caleb Serong most disposals</t>
  </si>
  <si>
    <t>Petracca 23/24 disposals</t>
  </si>
  <si>
    <t>MucCluggage 18/25.5 disposals</t>
  </si>
  <si>
    <t>Herbie Farnworth anytime try scorer</t>
  </si>
  <si>
    <t>GWS Essendon over 171.5, total 160</t>
  </si>
  <si>
    <t>O'Driscoll 8/15 touches (stinky docker)</t>
  </si>
  <si>
    <t>Daniel Tuner 9/10 touches</t>
  </si>
  <si>
    <t>Dogs to won 1-39</t>
  </si>
  <si>
    <t>Kozzie Pickett 2+ goals</t>
  </si>
  <si>
    <t>Collingwood to kick 2+ goals every quarter</t>
  </si>
  <si>
    <t>Tom Sparrow 8/10 disposals</t>
  </si>
  <si>
    <t>Jeremy Cameron anytime second half</t>
  </si>
  <si>
    <t>Naughton 2/3 goals vs Dorkers</t>
  </si>
  <si>
    <t>A.BAXTER</t>
  </si>
  <si>
    <t>Total bet and return for all seasons</t>
  </si>
  <si>
    <t>adam</t>
  </si>
  <si>
    <t>1 leg losses as at 09/03/2026</t>
  </si>
  <si>
    <t>Strikes for 2026 Season at 09/03/2026</t>
  </si>
  <si>
    <t>Adam</t>
  </si>
  <si>
    <t>Jamie Elliot needed 2 goals, got 1 goal 1 point</t>
  </si>
  <si>
    <t>Worpel needed 20 or more, got 17</t>
  </si>
  <si>
    <t>Max Verstappen needed to podium finish</t>
  </si>
  <si>
    <t>Wanganeen-Milera needed 25 or more, got 19</t>
  </si>
  <si>
    <t>Wanganeen-Milera Needed 30 or more, got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</si>
</sst>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&quot;$&quot;#,##0.00;[Red]\-&quot;$&quot;#,##0.00"/>
    <numFmt numFmtId="165" formatCode="&quot;$&quot;#,##0.00"/>
    <numFmt numFmtId="166" formatCode="0.0%"/>
    <numFmt numFmtId="167" formatCode="&quot;$&quot;#,##0.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FF0000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rgb="FFFF000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rgb="FFFF0000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/>
      <right style="medium">
        <color rgb="FFFF0000"/>
      </right>
      <top/>
      <bottom style="medium">
        <color auto="1"/>
      </bottom>
      <diagonal/>
    </border>
    <border>
      <left style="medium">
        <color auto="1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8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10" fontId="1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  <xf numFmtId="165" fontId="1" fillId="0" borderId="0" xfId="0" applyNumberFormat="1" applyFont="1"/>
    <xf numFmtId="165" fontId="3" fillId="2" borderId="1" xfId="0" applyNumberFormat="1" applyFont="1" applyFill="1" applyBorder="1"/>
    <xf numFmtId="165" fontId="4" fillId="0" borderId="0" xfId="0" applyNumberFormat="1" applyFont="1"/>
    <xf numFmtId="14" fontId="0" fillId="0" borderId="0" xfId="0" applyNumberFormat="1"/>
    <xf numFmtId="0" fontId="1" fillId="2" borderId="0" xfId="0" applyFont="1" applyFill="1"/>
    <xf numFmtId="0" fontId="6" fillId="0" borderId="2" xfId="0" applyFont="1" applyBorder="1" applyAlignment="1">
      <alignment horizontal="center"/>
    </xf>
    <xf numFmtId="165" fontId="0" fillId="4" borderId="4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5" fontId="0" fillId="4" borderId="8" xfId="0" applyNumberFormat="1" applyFill="1" applyBorder="1" applyAlignment="1">
      <alignment horizontal="center"/>
    </xf>
    <xf numFmtId="165" fontId="0" fillId="4" borderId="6" xfId="0" applyNumberFormat="1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165" fontId="0" fillId="4" borderId="9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165" fontId="0" fillId="3" borderId="15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0" fontId="0" fillId="0" borderId="0" xfId="0" applyNumberFormat="1"/>
    <xf numFmtId="165" fontId="1" fillId="3" borderId="7" xfId="0" applyNumberFormat="1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6" fontId="0" fillId="0" borderId="0" xfId="0" applyNumberFormat="1"/>
    <xf numFmtId="165" fontId="0" fillId="0" borderId="3" xfId="0" applyNumberForma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2" xfId="0" applyNumberFormat="1" applyFont="1" applyBorder="1" applyAlignment="1">
      <alignment horizontal="center"/>
    </xf>
    <xf numFmtId="0" fontId="10" fillId="0" borderId="2" xfId="0" applyFont="1" applyBorder="1"/>
    <xf numFmtId="167" fontId="0" fillId="0" borderId="0" xfId="0" applyNumberFormat="1"/>
    <xf numFmtId="9" fontId="0" fillId="0" borderId="0" xfId="1" applyFont="1"/>
    <xf numFmtId="165" fontId="4" fillId="3" borderId="7" xfId="0" applyNumberFormat="1" applyFont="1" applyFill="1" applyBorder="1" applyAlignment="1">
      <alignment horizontal="center"/>
    </xf>
    <xf numFmtId="165" fontId="4" fillId="6" borderId="0" xfId="0" applyNumberFormat="1" applyFont="1" applyFill="1"/>
    <xf numFmtId="167" fontId="4" fillId="6" borderId="0" xfId="0" applyNumberFormat="1" applyFont="1" applyFill="1"/>
    <xf numFmtId="165" fontId="0" fillId="7" borderId="0" xfId="0" applyNumberFormat="1" applyFill="1"/>
    <xf numFmtId="167" fontId="0" fillId="7" borderId="0" xfId="0" applyNumberFormat="1" applyFill="1"/>
    <xf numFmtId="165" fontId="0" fillId="8" borderId="0" xfId="0" applyNumberFormat="1" applyFill="1"/>
    <xf numFmtId="167" fontId="0" fillId="8" borderId="0" xfId="0" applyNumberFormat="1" applyFill="1"/>
    <xf numFmtId="0" fontId="0" fillId="9" borderId="0" xfId="0" applyFill="1"/>
    <xf numFmtId="0" fontId="0" fillId="0" borderId="21" xfId="0" applyBorder="1"/>
    <xf numFmtId="165" fontId="0" fillId="0" borderId="1" xfId="0" applyNumberFormat="1" applyBorder="1"/>
    <xf numFmtId="9" fontId="0" fillId="0" borderId="1" xfId="1" applyFont="1" applyBorder="1"/>
    <xf numFmtId="165" fontId="1" fillId="3" borderId="5" xfId="0" applyNumberFormat="1" applyFont="1" applyFill="1" applyBorder="1" applyAlignment="1">
      <alignment horizontal="center"/>
    </xf>
    <xf numFmtId="9" fontId="1" fillId="0" borderId="1" xfId="1" applyFont="1" applyBorder="1"/>
    <xf numFmtId="165" fontId="4" fillId="3" borderId="5" xfId="0" applyNumberFormat="1" applyFont="1" applyFill="1" applyBorder="1" applyAlignment="1">
      <alignment horizontal="center"/>
    </xf>
    <xf numFmtId="164" fontId="1" fillId="0" borderId="1" xfId="0" applyNumberFormat="1" applyFont="1" applyBorder="1"/>
    <xf numFmtId="164" fontId="0" fillId="0" borderId="1" xfId="0" applyNumberFormat="1" applyBorder="1"/>
    <xf numFmtId="0" fontId="9" fillId="7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0" fillId="0" borderId="0" xfId="0" applyAlignment="1">
      <alignment horizontal="right"/>
    </xf>
    <xf numFmtId="10" fontId="0" fillId="0" borderId="0" xfId="1" applyNumberFormat="1" applyFont="1"/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8" fontId="0" fillId="0" borderId="0" xfId="0" applyNumberFormat="1"/>
    <xf numFmtId="6" fontId="0" fillId="0" borderId="0" xfId="0" applyNumberFormat="1"/>
    <xf numFmtId="0" fontId="9" fillId="0" borderId="30" xfId="0" applyFont="1" applyBorder="1"/>
    <xf numFmtId="165" fontId="0" fillId="0" borderId="33" xfId="0" applyNumberFormat="1" applyBorder="1"/>
    <xf numFmtId="0" fontId="0" fillId="0" borderId="33" xfId="0" applyBorder="1"/>
    <xf numFmtId="165" fontId="0" fillId="0" borderId="21" xfId="0" applyNumberFormat="1" applyBorder="1"/>
    <xf numFmtId="164" fontId="1" fillId="0" borderId="21" xfId="0" applyNumberFormat="1" applyFont="1" applyBorder="1"/>
    <xf numFmtId="9" fontId="1" fillId="0" borderId="21" xfId="1" applyFont="1" applyBorder="1"/>
    <xf numFmtId="0" fontId="7" fillId="5" borderId="2" xfId="0" applyFont="1" applyFill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9" borderId="0" xfId="0" applyNumberFormat="1" applyFill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12" borderId="28" xfId="0" applyFont="1" applyFill="1" applyBorder="1" applyAlignment="1">
      <alignment horizontal="center"/>
    </xf>
    <xf numFmtId="0" fontId="7" fillId="12" borderId="29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0" fillId="0" borderId="34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E74A-6876-4CFE-8387-EE4223AB8F41}">
  <dimension ref="A1:M221"/>
  <sheetViews>
    <sheetView workbookViewId="0"/>
  </sheetViews>
  <sheetFormatPr defaultRowHeight="14.4" x14ac:dyDescent="0.3"/>
  <cols>
    <col min="1" max="1" width="13.44140625" customWidth="1"/>
    <col min="2" max="2" width="6.88671875" customWidth="1"/>
    <col min="4" max="4" width="14" customWidth="1"/>
    <col min="8" max="8" width="4.6640625" customWidth="1"/>
    <col min="9" max="9" width="10" customWidth="1"/>
    <col min="10" max="10" width="14" customWidth="1"/>
    <col min="11" max="11" width="10.88671875" customWidth="1"/>
    <col min="12" max="12" width="11.5546875" customWidth="1"/>
  </cols>
  <sheetData>
    <row r="1" spans="2:13" x14ac:dyDescent="0.3">
      <c r="B1" t="s">
        <v>0</v>
      </c>
    </row>
    <row r="2" spans="2:13" x14ac:dyDescent="0.3">
      <c r="I2" t="s">
        <v>1</v>
      </c>
    </row>
    <row r="3" spans="2:13" x14ac:dyDescent="0.3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J3" t="s">
        <v>4</v>
      </c>
      <c r="K3" t="s">
        <v>5</v>
      </c>
      <c r="L3" t="s">
        <v>8</v>
      </c>
    </row>
    <row r="4" spans="2:13" x14ac:dyDescent="0.3">
      <c r="B4" s="2">
        <v>1</v>
      </c>
      <c r="C4" t="s">
        <v>9</v>
      </c>
      <c r="D4" s="1">
        <v>30</v>
      </c>
      <c r="E4" s="1">
        <v>0</v>
      </c>
      <c r="F4" s="1">
        <f>E4-D4</f>
        <v>-30</v>
      </c>
      <c r="G4" s="3">
        <f>F4/D4</f>
        <v>-1</v>
      </c>
      <c r="I4" t="s">
        <v>9</v>
      </c>
      <c r="J4" s="1">
        <f>D4+D12+D20+D28+D36+D44+D48+D59</f>
        <v>219.72</v>
      </c>
      <c r="K4" s="1">
        <f>E4+E12+E20+E28+E36+E44+E48+E59</f>
        <v>60.77</v>
      </c>
      <c r="L4" s="6">
        <f>K4-J4</f>
        <v>-158.94999999999999</v>
      </c>
      <c r="M4" s="1">
        <f>L5+L4</f>
        <v>52.770000000000039</v>
      </c>
    </row>
    <row r="5" spans="2:13" x14ac:dyDescent="0.3">
      <c r="B5" s="2">
        <v>1</v>
      </c>
      <c r="C5" t="s">
        <v>10</v>
      </c>
      <c r="D5" s="1">
        <v>30</v>
      </c>
      <c r="E5" s="1">
        <v>0</v>
      </c>
      <c r="F5" s="1">
        <f t="shared" ref="F5:F16" si="0">E5-D5</f>
        <v>-30</v>
      </c>
      <c r="G5" s="3">
        <f t="shared" ref="G5:G7" si="1">F5/D5</f>
        <v>-1</v>
      </c>
      <c r="I5" t="s">
        <v>10</v>
      </c>
      <c r="J5" s="1">
        <f>D5+D13+D21+D29+D37+D45+D49+D60</f>
        <v>210</v>
      </c>
      <c r="K5" s="1">
        <f>E5+E13+E21+E29+E37+E45+E49+E60</f>
        <v>421.72</v>
      </c>
      <c r="L5" s="5">
        <f t="shared" ref="L5:L11" si="2">K5-J5</f>
        <v>211.72000000000003</v>
      </c>
    </row>
    <row r="6" spans="2:13" x14ac:dyDescent="0.3">
      <c r="B6" s="2">
        <v>2</v>
      </c>
      <c r="C6" t="s">
        <v>11</v>
      </c>
      <c r="D6" s="1">
        <v>30</v>
      </c>
      <c r="E6" s="1">
        <v>0</v>
      </c>
      <c r="F6" s="1">
        <f t="shared" si="0"/>
        <v>-30</v>
      </c>
      <c r="G6" s="3">
        <f t="shared" si="1"/>
        <v>-1</v>
      </c>
      <c r="I6" t="s">
        <v>11</v>
      </c>
      <c r="J6" s="1">
        <f>D6+D14+D22+D30+D38+D46+D61</f>
        <v>155</v>
      </c>
      <c r="K6" s="1">
        <f>E6+E14+E22+E30+E38+E46+E61</f>
        <v>135</v>
      </c>
      <c r="L6" s="6">
        <f t="shared" si="2"/>
        <v>-20</v>
      </c>
      <c r="M6" s="1">
        <f>L7+L6</f>
        <v>-142.5</v>
      </c>
    </row>
    <row r="7" spans="2:13" x14ac:dyDescent="0.3">
      <c r="B7" s="2">
        <v>2</v>
      </c>
      <c r="C7" t="s">
        <v>12</v>
      </c>
      <c r="D7" s="1">
        <v>30</v>
      </c>
      <c r="E7" s="1">
        <v>0</v>
      </c>
      <c r="F7" s="1">
        <f t="shared" si="0"/>
        <v>-30</v>
      </c>
      <c r="G7" s="3">
        <f t="shared" si="1"/>
        <v>-1</v>
      </c>
      <c r="I7" t="s">
        <v>12</v>
      </c>
      <c r="J7" s="1">
        <f>D7+D15+D23+D31+D39+D47+D50+D62</f>
        <v>210</v>
      </c>
      <c r="K7" s="1">
        <f>E7+E15+E23+E31+E39+E47+E50+E62</f>
        <v>87.5</v>
      </c>
      <c r="L7" s="6">
        <f t="shared" si="2"/>
        <v>-122.5</v>
      </c>
    </row>
    <row r="8" spans="2:13" x14ac:dyDescent="0.3">
      <c r="B8" s="2">
        <v>3</v>
      </c>
      <c r="C8" t="s">
        <v>13</v>
      </c>
      <c r="D8" s="1">
        <v>30</v>
      </c>
      <c r="E8" s="1">
        <v>249.43</v>
      </c>
      <c r="F8" s="5">
        <f t="shared" si="0"/>
        <v>219.43</v>
      </c>
      <c r="G8" s="4">
        <f>F8/D8</f>
        <v>7.3143333333333338</v>
      </c>
      <c r="I8" t="s">
        <v>13</v>
      </c>
      <c r="J8" s="1">
        <f t="shared" ref="J8:K11" si="3">D8+D16+D24+D32+D40+D51+D55+D63</f>
        <v>210</v>
      </c>
      <c r="K8" s="1">
        <f t="shared" si="3"/>
        <v>258.29000000000002</v>
      </c>
      <c r="L8" s="5">
        <f t="shared" si="2"/>
        <v>48.29000000000002</v>
      </c>
      <c r="M8" s="1">
        <f>L9+L8</f>
        <v>-161.70999999999998</v>
      </c>
    </row>
    <row r="9" spans="2:13" x14ac:dyDescent="0.3">
      <c r="B9" s="2">
        <v>3</v>
      </c>
      <c r="C9" t="s">
        <v>14</v>
      </c>
      <c r="D9" s="1">
        <v>30</v>
      </c>
      <c r="E9" s="1">
        <v>0</v>
      </c>
      <c r="F9" s="1">
        <f t="shared" si="0"/>
        <v>-30</v>
      </c>
      <c r="G9" s="3">
        <f t="shared" ref="G9:G16" si="4">F9/D9</f>
        <v>-1</v>
      </c>
      <c r="I9" t="s">
        <v>14</v>
      </c>
      <c r="J9" s="1">
        <f t="shared" si="3"/>
        <v>210</v>
      </c>
      <c r="K9" s="1">
        <f t="shared" si="3"/>
        <v>0</v>
      </c>
      <c r="L9" s="6">
        <f t="shared" si="2"/>
        <v>-210</v>
      </c>
    </row>
    <row r="10" spans="2:13" x14ac:dyDescent="0.3">
      <c r="B10" s="2">
        <v>4</v>
      </c>
      <c r="C10" t="s">
        <v>15</v>
      </c>
      <c r="D10" s="1">
        <v>30</v>
      </c>
      <c r="E10" s="1">
        <v>0</v>
      </c>
      <c r="F10" s="1">
        <f t="shared" si="0"/>
        <v>-30</v>
      </c>
      <c r="G10" s="3">
        <f t="shared" si="4"/>
        <v>-1</v>
      </c>
      <c r="I10" t="s">
        <v>15</v>
      </c>
      <c r="J10" s="1">
        <f t="shared" si="3"/>
        <v>210</v>
      </c>
      <c r="K10" s="1">
        <f t="shared" si="3"/>
        <v>319.56</v>
      </c>
      <c r="L10" s="5">
        <f t="shared" si="2"/>
        <v>109.56</v>
      </c>
      <c r="M10" s="1">
        <f>L11+L10</f>
        <v>52.990000000000009</v>
      </c>
    </row>
    <row r="11" spans="2:13" x14ac:dyDescent="0.3">
      <c r="B11" s="2">
        <v>4</v>
      </c>
      <c r="C11" t="s">
        <v>16</v>
      </c>
      <c r="D11" s="1">
        <v>30</v>
      </c>
      <c r="E11" s="1">
        <v>93.43</v>
      </c>
      <c r="F11" s="5">
        <f t="shared" si="0"/>
        <v>63.430000000000007</v>
      </c>
      <c r="G11" s="4">
        <f t="shared" si="4"/>
        <v>2.1143333333333336</v>
      </c>
      <c r="I11" t="s">
        <v>16</v>
      </c>
      <c r="J11" s="1">
        <f t="shared" si="3"/>
        <v>210</v>
      </c>
      <c r="K11" s="1">
        <f t="shared" si="3"/>
        <v>153.43</v>
      </c>
      <c r="L11" s="6">
        <f t="shared" si="2"/>
        <v>-56.569999999999993</v>
      </c>
    </row>
    <row r="12" spans="2:13" x14ac:dyDescent="0.3">
      <c r="B12" s="2">
        <v>5</v>
      </c>
      <c r="C12" t="s">
        <v>9</v>
      </c>
      <c r="D12" s="1">
        <v>30</v>
      </c>
      <c r="E12" s="1">
        <v>0</v>
      </c>
      <c r="F12" s="1">
        <f t="shared" si="0"/>
        <v>-30</v>
      </c>
      <c r="G12" s="3">
        <f t="shared" si="4"/>
        <v>-1</v>
      </c>
      <c r="M12" s="7">
        <f>SUM(K4:K11)-SUM(J4:J11)</f>
        <v>-198.45000000000005</v>
      </c>
    </row>
    <row r="13" spans="2:13" x14ac:dyDescent="0.3">
      <c r="B13" s="2">
        <v>5</v>
      </c>
      <c r="C13" t="s">
        <v>10</v>
      </c>
      <c r="D13" s="1">
        <v>30</v>
      </c>
      <c r="E13" s="1">
        <v>0</v>
      </c>
      <c r="F13" s="1">
        <f t="shared" si="0"/>
        <v>-30</v>
      </c>
      <c r="G13" s="3">
        <f t="shared" si="4"/>
        <v>-1</v>
      </c>
      <c r="J13" s="1">
        <f>SUM(J4:J12)</f>
        <v>1634.72</v>
      </c>
      <c r="K13" s="1">
        <f>SUM(K4:K12)</f>
        <v>1436.27</v>
      </c>
    </row>
    <row r="14" spans="2:13" x14ac:dyDescent="0.3">
      <c r="B14" s="2">
        <v>6</v>
      </c>
      <c r="C14" t="s">
        <v>11</v>
      </c>
      <c r="D14" s="1">
        <v>30</v>
      </c>
      <c r="E14" s="1">
        <v>0</v>
      </c>
      <c r="F14" s="1">
        <f t="shared" si="0"/>
        <v>-30</v>
      </c>
      <c r="G14" s="3">
        <f t="shared" si="4"/>
        <v>-1</v>
      </c>
    </row>
    <row r="15" spans="2:13" x14ac:dyDescent="0.3">
      <c r="B15" s="2">
        <v>6</v>
      </c>
      <c r="C15" t="s">
        <v>12</v>
      </c>
      <c r="D15" s="1">
        <v>30</v>
      </c>
      <c r="E15" s="1">
        <v>0</v>
      </c>
      <c r="F15" s="1">
        <f t="shared" si="0"/>
        <v>-30</v>
      </c>
      <c r="G15" s="3">
        <f t="shared" si="4"/>
        <v>-1</v>
      </c>
    </row>
    <row r="16" spans="2:13" x14ac:dyDescent="0.3">
      <c r="B16" s="2">
        <v>7</v>
      </c>
      <c r="C16" t="s">
        <v>13</v>
      </c>
      <c r="D16" s="1">
        <v>30</v>
      </c>
      <c r="E16" s="1">
        <v>0</v>
      </c>
      <c r="F16" s="1">
        <f t="shared" si="0"/>
        <v>-30</v>
      </c>
      <c r="G16" s="3">
        <f t="shared" si="4"/>
        <v>-1</v>
      </c>
    </row>
    <row r="17" spans="2:7" x14ac:dyDescent="0.3">
      <c r="B17" s="2">
        <v>7</v>
      </c>
      <c r="C17" t="s">
        <v>14</v>
      </c>
      <c r="D17" s="1">
        <v>30</v>
      </c>
      <c r="E17" s="1">
        <v>0</v>
      </c>
      <c r="F17" s="1">
        <f t="shared" ref="F17:F19" si="5">E17-D17</f>
        <v>-30</v>
      </c>
      <c r="G17" s="3">
        <f t="shared" ref="G17:G19" si="6">F17/D17</f>
        <v>-1</v>
      </c>
    </row>
    <row r="18" spans="2:7" x14ac:dyDescent="0.3">
      <c r="B18" s="2">
        <v>8</v>
      </c>
      <c r="C18" t="s">
        <v>15</v>
      </c>
      <c r="D18" s="1">
        <v>30</v>
      </c>
      <c r="E18" s="1">
        <v>0</v>
      </c>
      <c r="F18" s="1">
        <f t="shared" si="5"/>
        <v>-30</v>
      </c>
      <c r="G18" s="3">
        <f t="shared" si="6"/>
        <v>-1</v>
      </c>
    </row>
    <row r="19" spans="2:7" x14ac:dyDescent="0.3">
      <c r="B19" s="2">
        <v>8</v>
      </c>
      <c r="C19" t="s">
        <v>16</v>
      </c>
      <c r="D19" s="1">
        <v>30</v>
      </c>
      <c r="E19" s="1">
        <v>60</v>
      </c>
      <c r="F19" s="5">
        <f t="shared" si="5"/>
        <v>30</v>
      </c>
      <c r="G19" s="4">
        <f t="shared" si="6"/>
        <v>1</v>
      </c>
    </row>
    <row r="20" spans="2:7" x14ac:dyDescent="0.3">
      <c r="B20" s="2">
        <v>9</v>
      </c>
      <c r="C20" t="s">
        <v>9</v>
      </c>
      <c r="D20" s="1">
        <v>30</v>
      </c>
      <c r="E20" s="1">
        <v>0</v>
      </c>
      <c r="F20" s="1">
        <f>E20-D20</f>
        <v>-30</v>
      </c>
      <c r="G20" s="3">
        <f>F20/D20</f>
        <v>-1</v>
      </c>
    </row>
    <row r="21" spans="2:7" x14ac:dyDescent="0.3">
      <c r="B21" s="2">
        <v>9</v>
      </c>
      <c r="C21" t="s">
        <v>10</v>
      </c>
      <c r="D21" s="1">
        <v>30</v>
      </c>
      <c r="E21" s="1">
        <v>0</v>
      </c>
      <c r="F21" s="1">
        <f t="shared" ref="F21:F22" si="7">E21-D21</f>
        <v>-30</v>
      </c>
      <c r="G21" s="3">
        <f t="shared" ref="G21:G22" si="8">F21/D21</f>
        <v>-1</v>
      </c>
    </row>
    <row r="22" spans="2:7" x14ac:dyDescent="0.3">
      <c r="B22" s="2">
        <v>10</v>
      </c>
      <c r="C22" t="s">
        <v>11</v>
      </c>
      <c r="D22" s="1">
        <v>30</v>
      </c>
      <c r="E22" s="1">
        <v>0</v>
      </c>
      <c r="F22" s="1">
        <f t="shared" si="7"/>
        <v>-30</v>
      </c>
      <c r="G22" s="3">
        <f t="shared" si="8"/>
        <v>-1</v>
      </c>
    </row>
    <row r="23" spans="2:7" x14ac:dyDescent="0.3">
      <c r="B23" s="2">
        <v>10</v>
      </c>
      <c r="C23" t="s">
        <v>12</v>
      </c>
      <c r="D23" s="1">
        <v>30</v>
      </c>
      <c r="E23" s="1">
        <v>87.5</v>
      </c>
      <c r="F23" s="5">
        <f t="shared" ref="F23:F26" si="9">E23-D23</f>
        <v>57.5</v>
      </c>
      <c r="G23" s="4">
        <f t="shared" ref="G23:G26" si="10">F23/D23</f>
        <v>1.9166666666666667</v>
      </c>
    </row>
    <row r="24" spans="2:7" x14ac:dyDescent="0.3">
      <c r="B24" s="2">
        <v>11</v>
      </c>
      <c r="C24" t="s">
        <v>13</v>
      </c>
      <c r="D24" s="1">
        <v>30</v>
      </c>
      <c r="E24" s="1">
        <v>0</v>
      </c>
      <c r="F24" s="1">
        <f t="shared" si="9"/>
        <v>-30</v>
      </c>
      <c r="G24" s="3">
        <f t="shared" si="10"/>
        <v>-1</v>
      </c>
    </row>
    <row r="25" spans="2:7" x14ac:dyDescent="0.3">
      <c r="B25" s="2">
        <v>11</v>
      </c>
      <c r="C25" t="s">
        <v>14</v>
      </c>
      <c r="D25" s="1">
        <v>30</v>
      </c>
      <c r="E25" s="1">
        <v>0</v>
      </c>
      <c r="F25" s="1">
        <f t="shared" si="9"/>
        <v>-30</v>
      </c>
      <c r="G25" s="3">
        <f t="shared" si="10"/>
        <v>-1</v>
      </c>
    </row>
    <row r="26" spans="2:7" x14ac:dyDescent="0.3">
      <c r="B26" s="2">
        <v>12</v>
      </c>
      <c r="C26" t="s">
        <v>15</v>
      </c>
      <c r="D26" s="1">
        <v>30</v>
      </c>
      <c r="E26" s="1">
        <v>0</v>
      </c>
      <c r="F26" s="8">
        <f t="shared" si="9"/>
        <v>-30</v>
      </c>
      <c r="G26" s="3">
        <f t="shared" si="10"/>
        <v>-1</v>
      </c>
    </row>
    <row r="27" spans="2:7" x14ac:dyDescent="0.3">
      <c r="B27" s="2">
        <v>12</v>
      </c>
      <c r="C27" t="s">
        <v>16</v>
      </c>
      <c r="D27" s="1">
        <v>40</v>
      </c>
      <c r="E27" s="1">
        <v>0</v>
      </c>
      <c r="F27" s="1">
        <f t="shared" ref="F27:F66" si="11">E27-D27</f>
        <v>-40</v>
      </c>
      <c r="G27" s="3">
        <f t="shared" ref="G27:G66" si="12">F27/D27</f>
        <v>-1</v>
      </c>
    </row>
    <row r="28" spans="2:7" x14ac:dyDescent="0.3">
      <c r="B28" s="2">
        <v>13</v>
      </c>
      <c r="C28" t="s">
        <v>9</v>
      </c>
      <c r="D28" s="1">
        <v>40</v>
      </c>
      <c r="E28" s="1">
        <v>40.630000000000003</v>
      </c>
      <c r="F28" s="1">
        <f t="shared" si="11"/>
        <v>0.63000000000000256</v>
      </c>
      <c r="G28" s="4">
        <f t="shared" si="12"/>
        <v>1.5750000000000063E-2</v>
      </c>
    </row>
    <row r="29" spans="2:7" x14ac:dyDescent="0.3">
      <c r="B29" s="2">
        <v>13</v>
      </c>
      <c r="C29" t="s">
        <v>10</v>
      </c>
      <c r="D29" s="1">
        <v>30</v>
      </c>
      <c r="E29" s="1">
        <v>421.72</v>
      </c>
      <c r="F29" s="1">
        <f t="shared" si="11"/>
        <v>391.72</v>
      </c>
      <c r="G29" s="4">
        <f t="shared" si="12"/>
        <v>13.057333333333334</v>
      </c>
    </row>
    <row r="30" spans="2:7" x14ac:dyDescent="0.3">
      <c r="B30" s="2">
        <v>14</v>
      </c>
      <c r="C30" t="s">
        <v>11</v>
      </c>
      <c r="D30" s="1">
        <v>30</v>
      </c>
      <c r="E30" s="1">
        <v>135</v>
      </c>
      <c r="F30" s="1">
        <f t="shared" si="11"/>
        <v>105</v>
      </c>
      <c r="G30" s="4">
        <f t="shared" si="12"/>
        <v>3.5</v>
      </c>
    </row>
    <row r="31" spans="2:7" x14ac:dyDescent="0.3">
      <c r="B31" s="2">
        <v>14</v>
      </c>
      <c r="C31" t="s">
        <v>12</v>
      </c>
      <c r="D31" s="1">
        <v>30</v>
      </c>
      <c r="E31" s="1">
        <v>0</v>
      </c>
      <c r="F31" s="1">
        <f t="shared" si="11"/>
        <v>-30</v>
      </c>
      <c r="G31" s="3">
        <f t="shared" si="12"/>
        <v>-1</v>
      </c>
    </row>
    <row r="32" spans="2:7" x14ac:dyDescent="0.3">
      <c r="B32" s="2">
        <v>15</v>
      </c>
      <c r="C32" t="s">
        <v>13</v>
      </c>
      <c r="D32" s="1">
        <v>30</v>
      </c>
      <c r="E32" s="1">
        <v>0</v>
      </c>
      <c r="F32" s="1">
        <f t="shared" si="11"/>
        <v>-30</v>
      </c>
      <c r="G32" s="3">
        <f t="shared" si="12"/>
        <v>-1</v>
      </c>
    </row>
    <row r="33" spans="1:7" x14ac:dyDescent="0.3">
      <c r="B33" s="2">
        <v>15</v>
      </c>
      <c r="C33" t="s">
        <v>14</v>
      </c>
      <c r="D33" s="1">
        <v>30</v>
      </c>
      <c r="E33" s="1">
        <v>0</v>
      </c>
      <c r="F33" s="1">
        <f t="shared" si="11"/>
        <v>-30</v>
      </c>
      <c r="G33" s="3">
        <f t="shared" si="12"/>
        <v>-1</v>
      </c>
    </row>
    <row r="34" spans="1:7" x14ac:dyDescent="0.3">
      <c r="B34" s="2">
        <v>16</v>
      </c>
      <c r="C34" t="s">
        <v>15</v>
      </c>
      <c r="D34" s="1">
        <v>30</v>
      </c>
      <c r="E34" s="1">
        <v>27.3</v>
      </c>
      <c r="F34" s="1">
        <f t="shared" si="11"/>
        <v>-2.6999999999999993</v>
      </c>
      <c r="G34" s="3">
        <f t="shared" si="12"/>
        <v>-8.9999999999999983E-2</v>
      </c>
    </row>
    <row r="35" spans="1:7" x14ac:dyDescent="0.3">
      <c r="B35" s="2">
        <v>16</v>
      </c>
      <c r="C35" t="s">
        <v>16</v>
      </c>
      <c r="D35" s="1">
        <v>20</v>
      </c>
      <c r="E35" s="1">
        <v>0</v>
      </c>
      <c r="F35" s="1">
        <f t="shared" si="11"/>
        <v>-20</v>
      </c>
      <c r="G35" s="3">
        <f t="shared" si="12"/>
        <v>-1</v>
      </c>
    </row>
    <row r="36" spans="1:7" x14ac:dyDescent="0.3">
      <c r="B36" s="2">
        <v>17</v>
      </c>
      <c r="C36" t="s">
        <v>9</v>
      </c>
      <c r="D36" s="1">
        <v>30</v>
      </c>
      <c r="E36" s="1">
        <v>0</v>
      </c>
      <c r="F36" s="1">
        <f t="shared" si="11"/>
        <v>-30</v>
      </c>
      <c r="G36" s="3">
        <f t="shared" si="12"/>
        <v>-1</v>
      </c>
    </row>
    <row r="37" spans="1:7" x14ac:dyDescent="0.3">
      <c r="B37" s="2">
        <v>17</v>
      </c>
      <c r="C37" t="s">
        <v>10</v>
      </c>
      <c r="D37" s="1">
        <v>30</v>
      </c>
      <c r="E37" s="1">
        <v>0</v>
      </c>
      <c r="F37" s="1">
        <f t="shared" si="11"/>
        <v>-30</v>
      </c>
      <c r="G37" s="3">
        <f t="shared" si="12"/>
        <v>-1</v>
      </c>
    </row>
    <row r="38" spans="1:7" x14ac:dyDescent="0.3">
      <c r="A38" s="9">
        <v>43665</v>
      </c>
      <c r="B38" s="2">
        <v>18</v>
      </c>
      <c r="C38" t="s">
        <v>11</v>
      </c>
      <c r="D38" s="1">
        <v>5</v>
      </c>
      <c r="E38" s="1">
        <v>0</v>
      </c>
      <c r="F38" s="1">
        <f t="shared" si="11"/>
        <v>-5</v>
      </c>
      <c r="G38" s="3">
        <f t="shared" si="12"/>
        <v>-1</v>
      </c>
    </row>
    <row r="39" spans="1:7" x14ac:dyDescent="0.3">
      <c r="A39" s="9">
        <v>43665</v>
      </c>
      <c r="B39" s="2">
        <v>18</v>
      </c>
      <c r="C39" t="s">
        <v>12</v>
      </c>
      <c r="D39" s="1">
        <v>30</v>
      </c>
      <c r="E39" s="1">
        <v>0</v>
      </c>
      <c r="F39" s="1">
        <f t="shared" si="11"/>
        <v>-30</v>
      </c>
      <c r="G39" s="3">
        <f t="shared" si="12"/>
        <v>-1</v>
      </c>
    </row>
    <row r="40" spans="1:7" x14ac:dyDescent="0.3">
      <c r="A40" s="9">
        <v>43672</v>
      </c>
      <c r="B40" s="2">
        <v>19</v>
      </c>
      <c r="C40" t="s">
        <v>13</v>
      </c>
      <c r="D40" s="1">
        <v>30</v>
      </c>
      <c r="E40" s="1">
        <v>0</v>
      </c>
      <c r="F40" s="1">
        <f t="shared" si="11"/>
        <v>-30</v>
      </c>
      <c r="G40" s="3">
        <f t="shared" si="12"/>
        <v>-1</v>
      </c>
    </row>
    <row r="41" spans="1:7" x14ac:dyDescent="0.3">
      <c r="A41" s="9">
        <v>43672</v>
      </c>
      <c r="B41" s="2">
        <v>19</v>
      </c>
      <c r="C41" t="s">
        <v>14</v>
      </c>
      <c r="D41" s="1">
        <v>30</v>
      </c>
      <c r="E41" s="1">
        <v>0</v>
      </c>
      <c r="F41" s="1">
        <f t="shared" si="11"/>
        <v>-30</v>
      </c>
      <c r="G41" s="3">
        <f t="shared" si="12"/>
        <v>-1</v>
      </c>
    </row>
    <row r="42" spans="1:7" x14ac:dyDescent="0.3">
      <c r="A42" s="9">
        <v>43679</v>
      </c>
      <c r="B42" s="2">
        <v>20</v>
      </c>
      <c r="C42" t="s">
        <v>15</v>
      </c>
      <c r="D42" s="1">
        <v>30</v>
      </c>
      <c r="E42" s="1">
        <f>248.75+33.78</f>
        <v>282.52999999999997</v>
      </c>
      <c r="F42" s="1">
        <f t="shared" si="11"/>
        <v>252.52999999999997</v>
      </c>
      <c r="G42" s="4">
        <f t="shared" si="12"/>
        <v>8.4176666666666655</v>
      </c>
    </row>
    <row r="43" spans="1:7" x14ac:dyDescent="0.3">
      <c r="A43" s="9">
        <v>43679</v>
      </c>
      <c r="B43" s="2">
        <v>20</v>
      </c>
      <c r="C43" t="s">
        <v>16</v>
      </c>
      <c r="D43" s="1">
        <v>30</v>
      </c>
      <c r="E43" s="1">
        <v>0</v>
      </c>
      <c r="F43" s="1">
        <f t="shared" si="11"/>
        <v>-30</v>
      </c>
      <c r="G43" s="3">
        <f t="shared" si="12"/>
        <v>-1</v>
      </c>
    </row>
    <row r="44" spans="1:7" x14ac:dyDescent="0.3">
      <c r="A44" s="9">
        <v>43686</v>
      </c>
      <c r="B44" s="2">
        <v>21</v>
      </c>
      <c r="C44" t="s">
        <v>9</v>
      </c>
      <c r="D44" s="1">
        <f>30-0.28</f>
        <v>29.72</v>
      </c>
      <c r="E44" s="1">
        <v>20.14</v>
      </c>
      <c r="F44" s="1">
        <f t="shared" si="11"/>
        <v>-9.5799999999999983</v>
      </c>
      <c r="G44" s="3">
        <f t="shared" si="12"/>
        <v>-0.32234185733512782</v>
      </c>
    </row>
    <row r="45" spans="1:7" x14ac:dyDescent="0.3">
      <c r="A45" s="9">
        <v>43686</v>
      </c>
      <c r="B45" s="2">
        <v>21</v>
      </c>
      <c r="C45" t="s">
        <v>10</v>
      </c>
      <c r="D45" s="1">
        <v>30</v>
      </c>
      <c r="E45" s="1">
        <v>0</v>
      </c>
      <c r="F45" s="1">
        <f t="shared" si="11"/>
        <v>-30</v>
      </c>
      <c r="G45" s="3">
        <f t="shared" si="12"/>
        <v>-1</v>
      </c>
    </row>
    <row r="46" spans="1:7" x14ac:dyDescent="0.3">
      <c r="B46" s="2">
        <v>22</v>
      </c>
      <c r="C46" t="s">
        <v>11</v>
      </c>
      <c r="D46" s="1">
        <v>30</v>
      </c>
      <c r="E46" s="1">
        <v>0</v>
      </c>
      <c r="F46" s="1">
        <f t="shared" si="11"/>
        <v>-30</v>
      </c>
      <c r="G46" s="3">
        <f t="shared" si="12"/>
        <v>-1</v>
      </c>
    </row>
    <row r="47" spans="1:7" x14ac:dyDescent="0.3">
      <c r="B47" s="2">
        <v>22</v>
      </c>
      <c r="C47" t="s">
        <v>12</v>
      </c>
      <c r="D47" s="1">
        <v>30</v>
      </c>
      <c r="E47" s="1">
        <v>0</v>
      </c>
      <c r="F47" s="1">
        <f t="shared" si="11"/>
        <v>-30</v>
      </c>
      <c r="G47" s="3">
        <f t="shared" si="12"/>
        <v>-1</v>
      </c>
    </row>
    <row r="48" spans="1:7" x14ac:dyDescent="0.3">
      <c r="A48" s="10" t="s">
        <v>17</v>
      </c>
      <c r="B48" s="2">
        <v>22</v>
      </c>
      <c r="C48" t="s">
        <v>9</v>
      </c>
      <c r="D48" s="1">
        <v>20</v>
      </c>
      <c r="E48" s="1">
        <v>0</v>
      </c>
      <c r="F48" s="1">
        <f t="shared" si="11"/>
        <v>-20</v>
      </c>
      <c r="G48" s="3">
        <f t="shared" si="12"/>
        <v>-1</v>
      </c>
    </row>
    <row r="49" spans="1:7" x14ac:dyDescent="0.3">
      <c r="B49" s="2">
        <v>22</v>
      </c>
      <c r="C49" t="s">
        <v>10</v>
      </c>
      <c r="D49" s="1">
        <v>20</v>
      </c>
      <c r="E49" s="1">
        <v>0</v>
      </c>
      <c r="F49" s="1">
        <f t="shared" si="11"/>
        <v>-20</v>
      </c>
      <c r="G49" s="3">
        <f t="shared" si="12"/>
        <v>-1</v>
      </c>
    </row>
    <row r="50" spans="1:7" x14ac:dyDescent="0.3">
      <c r="B50" s="2">
        <v>22</v>
      </c>
      <c r="C50" t="s">
        <v>12</v>
      </c>
      <c r="D50" s="1">
        <v>20</v>
      </c>
      <c r="E50" s="1">
        <v>0</v>
      </c>
      <c r="F50" s="1">
        <f t="shared" si="11"/>
        <v>-20</v>
      </c>
      <c r="G50" s="3">
        <f t="shared" si="12"/>
        <v>-1</v>
      </c>
    </row>
    <row r="51" spans="1:7" x14ac:dyDescent="0.3">
      <c r="B51" s="2">
        <v>22</v>
      </c>
      <c r="C51" t="s">
        <v>13</v>
      </c>
      <c r="D51" s="1">
        <v>20</v>
      </c>
      <c r="E51" s="1">
        <v>0</v>
      </c>
      <c r="F51" s="1">
        <f t="shared" si="11"/>
        <v>-20</v>
      </c>
      <c r="G51" s="3">
        <f t="shared" si="12"/>
        <v>-1</v>
      </c>
    </row>
    <row r="52" spans="1:7" x14ac:dyDescent="0.3">
      <c r="B52" s="2">
        <v>22</v>
      </c>
      <c r="C52" t="s">
        <v>14</v>
      </c>
      <c r="D52" s="1">
        <v>20</v>
      </c>
      <c r="E52" s="1">
        <v>0</v>
      </c>
      <c r="F52" s="1">
        <f t="shared" si="11"/>
        <v>-20</v>
      </c>
      <c r="G52" s="3">
        <f t="shared" si="12"/>
        <v>-1</v>
      </c>
    </row>
    <row r="53" spans="1:7" x14ac:dyDescent="0.3">
      <c r="B53" s="2">
        <v>22</v>
      </c>
      <c r="C53" t="s">
        <v>15</v>
      </c>
      <c r="D53" s="1">
        <v>20</v>
      </c>
      <c r="E53" s="1">
        <v>9.73</v>
      </c>
      <c r="F53" s="1">
        <f t="shared" si="11"/>
        <v>-10.27</v>
      </c>
      <c r="G53" s="3">
        <f t="shared" si="12"/>
        <v>-0.51349999999999996</v>
      </c>
    </row>
    <row r="54" spans="1:7" x14ac:dyDescent="0.3">
      <c r="B54" s="2">
        <v>22</v>
      </c>
      <c r="C54" t="s">
        <v>16</v>
      </c>
      <c r="D54" s="1">
        <v>20</v>
      </c>
      <c r="E54" s="1">
        <v>0</v>
      </c>
      <c r="F54" s="1">
        <f t="shared" si="11"/>
        <v>-20</v>
      </c>
      <c r="G54" s="3">
        <f t="shared" si="12"/>
        <v>-1</v>
      </c>
    </row>
    <row r="55" spans="1:7" x14ac:dyDescent="0.3">
      <c r="B55" s="2">
        <v>23</v>
      </c>
      <c r="C55" t="s">
        <v>13</v>
      </c>
      <c r="D55" s="1">
        <v>30</v>
      </c>
      <c r="E55" s="1">
        <v>0</v>
      </c>
      <c r="F55" s="1">
        <f t="shared" si="11"/>
        <v>-30</v>
      </c>
      <c r="G55" s="3">
        <f t="shared" si="12"/>
        <v>-1</v>
      </c>
    </row>
    <row r="56" spans="1:7" x14ac:dyDescent="0.3">
      <c r="B56" s="2">
        <v>23</v>
      </c>
      <c r="C56" t="s">
        <v>14</v>
      </c>
      <c r="D56" s="1">
        <v>30</v>
      </c>
      <c r="E56" s="1">
        <v>0</v>
      </c>
      <c r="F56" s="1">
        <f t="shared" si="11"/>
        <v>-30</v>
      </c>
      <c r="G56" s="3">
        <f t="shared" si="12"/>
        <v>-1</v>
      </c>
    </row>
    <row r="57" spans="1:7" x14ac:dyDescent="0.3">
      <c r="A57" s="9">
        <v>43707</v>
      </c>
      <c r="B57" s="2"/>
      <c r="C57" t="s">
        <v>15</v>
      </c>
      <c r="D57" s="1">
        <v>30</v>
      </c>
      <c r="E57" s="1">
        <v>0</v>
      </c>
      <c r="F57" s="1">
        <f t="shared" si="11"/>
        <v>-30</v>
      </c>
      <c r="G57" s="3">
        <f t="shared" si="12"/>
        <v>-1</v>
      </c>
    </row>
    <row r="58" spans="1:7" x14ac:dyDescent="0.3">
      <c r="A58" s="9">
        <v>43707</v>
      </c>
      <c r="B58" s="2"/>
      <c r="C58" t="s">
        <v>16</v>
      </c>
      <c r="D58" s="1">
        <v>30</v>
      </c>
      <c r="E58" s="1">
        <v>0</v>
      </c>
      <c r="F58" s="1">
        <f t="shared" si="11"/>
        <v>-30</v>
      </c>
      <c r="G58" s="3">
        <f t="shared" si="12"/>
        <v>-1</v>
      </c>
    </row>
    <row r="59" spans="1:7" x14ac:dyDescent="0.3">
      <c r="A59" s="9">
        <v>43714</v>
      </c>
      <c r="B59" s="2"/>
      <c r="C59" t="s">
        <v>9</v>
      </c>
      <c r="D59" s="1">
        <v>10</v>
      </c>
      <c r="E59" s="1">
        <v>0</v>
      </c>
      <c r="F59" s="1">
        <f t="shared" si="11"/>
        <v>-10</v>
      </c>
      <c r="G59" s="3">
        <f t="shared" si="12"/>
        <v>-1</v>
      </c>
    </row>
    <row r="60" spans="1:7" x14ac:dyDescent="0.3">
      <c r="A60" s="9">
        <v>43714</v>
      </c>
      <c r="B60" s="2"/>
      <c r="C60" t="s">
        <v>10</v>
      </c>
      <c r="D60" s="1">
        <v>10</v>
      </c>
      <c r="E60" s="1">
        <v>0</v>
      </c>
      <c r="F60" s="1">
        <f t="shared" si="11"/>
        <v>-10</v>
      </c>
      <c r="G60" s="3">
        <f t="shared" si="12"/>
        <v>-1</v>
      </c>
    </row>
    <row r="61" spans="1:7" x14ac:dyDescent="0.3">
      <c r="A61" s="9">
        <v>43714</v>
      </c>
      <c r="B61" s="2"/>
      <c r="C61" t="s">
        <v>11</v>
      </c>
      <c r="D61" s="1">
        <v>0</v>
      </c>
      <c r="E61" s="1">
        <v>0</v>
      </c>
      <c r="F61" s="1"/>
      <c r="G61" s="3"/>
    </row>
    <row r="62" spans="1:7" x14ac:dyDescent="0.3">
      <c r="A62" s="9">
        <v>43714</v>
      </c>
      <c r="B62" s="2"/>
      <c r="C62" t="s">
        <v>12</v>
      </c>
      <c r="D62" s="1">
        <v>10</v>
      </c>
      <c r="E62" s="1">
        <v>0</v>
      </c>
      <c r="F62" s="1">
        <f t="shared" si="11"/>
        <v>-10</v>
      </c>
      <c r="G62" s="3">
        <f t="shared" si="12"/>
        <v>-1</v>
      </c>
    </row>
    <row r="63" spans="1:7" x14ac:dyDescent="0.3">
      <c r="A63" s="9">
        <v>43714</v>
      </c>
      <c r="B63" s="2"/>
      <c r="C63" t="s">
        <v>13</v>
      </c>
      <c r="D63" s="1">
        <v>10</v>
      </c>
      <c r="E63" s="1">
        <v>8.86</v>
      </c>
      <c r="F63" s="1">
        <f t="shared" si="11"/>
        <v>-1.1400000000000006</v>
      </c>
      <c r="G63" s="3">
        <f t="shared" si="12"/>
        <v>-0.11400000000000006</v>
      </c>
    </row>
    <row r="64" spans="1:7" x14ac:dyDescent="0.3">
      <c r="A64" s="9">
        <v>43714</v>
      </c>
      <c r="B64" s="2"/>
      <c r="C64" t="s">
        <v>14</v>
      </c>
      <c r="D64" s="1">
        <v>10</v>
      </c>
      <c r="E64" s="1">
        <v>0</v>
      </c>
      <c r="F64" s="1">
        <f t="shared" si="11"/>
        <v>-10</v>
      </c>
      <c r="G64" s="3">
        <f t="shared" si="12"/>
        <v>-1</v>
      </c>
    </row>
    <row r="65" spans="1:7" x14ac:dyDescent="0.3">
      <c r="A65" s="9">
        <v>43714</v>
      </c>
      <c r="B65" s="2"/>
      <c r="C65" t="s">
        <v>15</v>
      </c>
      <c r="D65" s="1">
        <v>10</v>
      </c>
      <c r="E65" s="1">
        <v>0</v>
      </c>
      <c r="F65" s="1">
        <f t="shared" si="11"/>
        <v>-10</v>
      </c>
      <c r="G65" s="3">
        <f t="shared" si="12"/>
        <v>-1</v>
      </c>
    </row>
    <row r="66" spans="1:7" x14ac:dyDescent="0.3">
      <c r="A66" s="9">
        <v>43714</v>
      </c>
      <c r="B66" s="2"/>
      <c r="C66" t="s">
        <v>16</v>
      </c>
      <c r="D66" s="1">
        <v>10</v>
      </c>
      <c r="E66" s="1">
        <v>0</v>
      </c>
      <c r="F66" s="1">
        <f t="shared" si="11"/>
        <v>-10</v>
      </c>
      <c r="G66" s="3">
        <f t="shared" si="12"/>
        <v>-1</v>
      </c>
    </row>
    <row r="67" spans="1:7" x14ac:dyDescent="0.3">
      <c r="B67" s="2"/>
      <c r="D67" s="1"/>
      <c r="E67" s="1"/>
    </row>
    <row r="68" spans="1:7" x14ac:dyDescent="0.3">
      <c r="B68" s="2"/>
      <c r="D68" s="1"/>
      <c r="E68" s="1"/>
    </row>
    <row r="69" spans="1:7" x14ac:dyDescent="0.3">
      <c r="B69" s="2"/>
      <c r="D69" s="1"/>
      <c r="E69" s="1"/>
    </row>
    <row r="70" spans="1:7" x14ac:dyDescent="0.3">
      <c r="B70" s="2"/>
      <c r="D70" s="1"/>
      <c r="E70" s="1"/>
    </row>
    <row r="71" spans="1:7" x14ac:dyDescent="0.3">
      <c r="B71" s="2"/>
      <c r="D71" s="1"/>
      <c r="E71" s="1"/>
    </row>
    <row r="72" spans="1:7" x14ac:dyDescent="0.3">
      <c r="B72" s="2"/>
      <c r="D72" s="1"/>
      <c r="E72" s="1"/>
    </row>
    <row r="73" spans="1:7" x14ac:dyDescent="0.3">
      <c r="B73" s="2"/>
      <c r="D73" s="1"/>
      <c r="E73" s="1"/>
    </row>
    <row r="74" spans="1:7" x14ac:dyDescent="0.3">
      <c r="B74" s="2"/>
      <c r="D74" s="1"/>
      <c r="E74" s="1"/>
    </row>
    <row r="75" spans="1:7" x14ac:dyDescent="0.3">
      <c r="B75" s="2"/>
      <c r="D75" s="1"/>
      <c r="E75" s="1"/>
    </row>
    <row r="76" spans="1:7" x14ac:dyDescent="0.3">
      <c r="B76" s="2"/>
      <c r="D76" s="1"/>
      <c r="E76" s="1"/>
    </row>
    <row r="77" spans="1:7" x14ac:dyDescent="0.3">
      <c r="B77" s="2"/>
      <c r="D77" s="1"/>
      <c r="E77" s="1"/>
    </row>
    <row r="78" spans="1:7" x14ac:dyDescent="0.3">
      <c r="B78" s="2"/>
      <c r="D78" s="1"/>
      <c r="E78" s="1"/>
    </row>
    <row r="79" spans="1:7" x14ac:dyDescent="0.3">
      <c r="B79" s="2"/>
      <c r="D79" s="1"/>
      <c r="E79" s="1"/>
    </row>
    <row r="80" spans="1:7" x14ac:dyDescent="0.3">
      <c r="B80" s="2"/>
      <c r="D80" s="1"/>
      <c r="E80" s="1"/>
    </row>
    <row r="81" spans="2:5" x14ac:dyDescent="0.3">
      <c r="B81" s="2"/>
      <c r="D81" s="1"/>
      <c r="E81" s="1"/>
    </row>
    <row r="82" spans="2:5" x14ac:dyDescent="0.3">
      <c r="B82" s="2"/>
      <c r="D82" s="1"/>
      <c r="E82" s="1"/>
    </row>
    <row r="83" spans="2:5" x14ac:dyDescent="0.3">
      <c r="B83" s="2"/>
      <c r="D83" s="1"/>
      <c r="E83" s="1"/>
    </row>
    <row r="84" spans="2:5" x14ac:dyDescent="0.3">
      <c r="B84" s="2"/>
      <c r="D84" s="1"/>
      <c r="E84" s="1"/>
    </row>
    <row r="85" spans="2:5" x14ac:dyDescent="0.3">
      <c r="B85" s="2"/>
      <c r="D85" s="1"/>
      <c r="E85" s="1"/>
    </row>
    <row r="86" spans="2:5" x14ac:dyDescent="0.3">
      <c r="B86" s="2"/>
      <c r="D86" s="1"/>
      <c r="E86" s="1"/>
    </row>
    <row r="87" spans="2:5" x14ac:dyDescent="0.3">
      <c r="B87" s="2"/>
      <c r="D87" s="1"/>
      <c r="E87" s="1"/>
    </row>
    <row r="88" spans="2:5" x14ac:dyDescent="0.3">
      <c r="B88" s="2"/>
      <c r="D88" s="1"/>
      <c r="E88" s="1"/>
    </row>
    <row r="89" spans="2:5" x14ac:dyDescent="0.3">
      <c r="B89" s="2"/>
      <c r="D89" s="1"/>
      <c r="E89" s="1"/>
    </row>
    <row r="90" spans="2:5" x14ac:dyDescent="0.3">
      <c r="B90" s="2"/>
      <c r="D90" s="1"/>
      <c r="E90" s="1"/>
    </row>
    <row r="91" spans="2:5" x14ac:dyDescent="0.3">
      <c r="B91" s="2"/>
      <c r="D91" s="1"/>
      <c r="E91" s="1"/>
    </row>
    <row r="92" spans="2:5" x14ac:dyDescent="0.3">
      <c r="B92" s="2"/>
      <c r="D92" s="1"/>
      <c r="E92" s="1"/>
    </row>
    <row r="93" spans="2:5" x14ac:dyDescent="0.3">
      <c r="B93" s="2"/>
      <c r="D93" s="1"/>
      <c r="E93" s="1"/>
    </row>
    <row r="94" spans="2:5" x14ac:dyDescent="0.3">
      <c r="B94" s="2"/>
      <c r="D94" s="1"/>
      <c r="E94" s="1"/>
    </row>
    <row r="95" spans="2:5" x14ac:dyDescent="0.3">
      <c r="B95" s="2"/>
      <c r="D95" s="1"/>
      <c r="E95" s="1"/>
    </row>
    <row r="96" spans="2:5" x14ac:dyDescent="0.3">
      <c r="B96" s="2"/>
      <c r="D96" s="1"/>
      <c r="E96" s="1"/>
    </row>
    <row r="97" spans="2:5" x14ac:dyDescent="0.3">
      <c r="B97" s="2"/>
      <c r="D97" s="1"/>
      <c r="E97" s="1"/>
    </row>
    <row r="98" spans="2:5" x14ac:dyDescent="0.3">
      <c r="B98" s="2"/>
      <c r="D98" s="1"/>
      <c r="E98" s="1"/>
    </row>
    <row r="99" spans="2:5" x14ac:dyDescent="0.3">
      <c r="B99" s="2"/>
      <c r="D99" s="1"/>
      <c r="E99" s="1"/>
    </row>
    <row r="100" spans="2:5" x14ac:dyDescent="0.3">
      <c r="B100" s="2"/>
      <c r="D100" s="1"/>
      <c r="E100" s="1"/>
    </row>
    <row r="101" spans="2:5" x14ac:dyDescent="0.3">
      <c r="B101" s="2"/>
      <c r="D101" s="1"/>
      <c r="E101" s="1"/>
    </row>
    <row r="102" spans="2:5" x14ac:dyDescent="0.3">
      <c r="B102" s="2"/>
      <c r="D102" s="1"/>
      <c r="E102" s="1"/>
    </row>
    <row r="103" spans="2:5" x14ac:dyDescent="0.3">
      <c r="B103" s="2"/>
      <c r="D103" s="1"/>
      <c r="E103" s="1"/>
    </row>
    <row r="104" spans="2:5" x14ac:dyDescent="0.3">
      <c r="B104" s="2"/>
      <c r="D104" s="1"/>
      <c r="E104" s="1"/>
    </row>
    <row r="105" spans="2:5" x14ac:dyDescent="0.3">
      <c r="B105" s="2"/>
      <c r="D105" s="1"/>
      <c r="E105" s="1"/>
    </row>
    <row r="106" spans="2:5" x14ac:dyDescent="0.3">
      <c r="B106" s="2"/>
      <c r="D106" s="1"/>
      <c r="E106" s="1"/>
    </row>
    <row r="107" spans="2:5" x14ac:dyDescent="0.3">
      <c r="B107" s="2"/>
      <c r="D107" s="1"/>
      <c r="E107" s="1"/>
    </row>
    <row r="108" spans="2:5" x14ac:dyDescent="0.3">
      <c r="B108" s="2"/>
      <c r="D108" s="1"/>
      <c r="E108" s="1"/>
    </row>
    <row r="109" spans="2:5" x14ac:dyDescent="0.3">
      <c r="B109" s="2"/>
      <c r="D109" s="1"/>
      <c r="E109" s="1"/>
    </row>
    <row r="110" spans="2:5" x14ac:dyDescent="0.3">
      <c r="B110" s="2"/>
      <c r="D110" s="1"/>
      <c r="E110" s="1"/>
    </row>
    <row r="111" spans="2:5" x14ac:dyDescent="0.3">
      <c r="B111" s="2"/>
      <c r="D111" s="1"/>
      <c r="E111" s="1"/>
    </row>
    <row r="112" spans="2:5" x14ac:dyDescent="0.3">
      <c r="B112" s="2"/>
      <c r="D112" s="1"/>
      <c r="E112" s="1"/>
    </row>
    <row r="113" spans="2:5" x14ac:dyDescent="0.3">
      <c r="B113" s="2"/>
      <c r="D113" s="1"/>
      <c r="E113" s="1"/>
    </row>
    <row r="114" spans="2:5" x14ac:dyDescent="0.3">
      <c r="B114" s="2"/>
      <c r="D114" s="1"/>
      <c r="E114" s="1"/>
    </row>
    <row r="115" spans="2:5" x14ac:dyDescent="0.3">
      <c r="B115" s="2"/>
      <c r="D115" s="1"/>
      <c r="E115" s="1"/>
    </row>
    <row r="116" spans="2:5" x14ac:dyDescent="0.3">
      <c r="B116" s="2"/>
      <c r="D116" s="1"/>
      <c r="E116" s="1"/>
    </row>
    <row r="117" spans="2:5" x14ac:dyDescent="0.3">
      <c r="B117" s="2"/>
      <c r="D117" s="1"/>
      <c r="E117" s="1"/>
    </row>
    <row r="118" spans="2:5" x14ac:dyDescent="0.3">
      <c r="B118" s="2"/>
      <c r="D118" s="1"/>
      <c r="E118" s="1"/>
    </row>
    <row r="119" spans="2:5" x14ac:dyDescent="0.3">
      <c r="B119" s="2"/>
      <c r="D119" s="1"/>
      <c r="E119" s="1"/>
    </row>
    <row r="120" spans="2:5" x14ac:dyDescent="0.3">
      <c r="B120" s="2"/>
      <c r="D120" s="1"/>
      <c r="E120" s="1"/>
    </row>
    <row r="121" spans="2:5" x14ac:dyDescent="0.3">
      <c r="B121" s="2"/>
      <c r="D121" s="1"/>
      <c r="E121" s="1"/>
    </row>
    <row r="122" spans="2:5" x14ac:dyDescent="0.3">
      <c r="B122" s="2"/>
      <c r="D122" s="1"/>
      <c r="E122" s="1"/>
    </row>
    <row r="123" spans="2:5" x14ac:dyDescent="0.3">
      <c r="B123" s="2"/>
      <c r="D123" s="1"/>
      <c r="E123" s="1"/>
    </row>
    <row r="124" spans="2:5" x14ac:dyDescent="0.3">
      <c r="B124" s="2"/>
      <c r="D124" s="1"/>
      <c r="E124" s="1"/>
    </row>
    <row r="125" spans="2:5" x14ac:dyDescent="0.3">
      <c r="B125" s="2"/>
      <c r="D125" s="1"/>
      <c r="E125" s="1"/>
    </row>
    <row r="126" spans="2:5" x14ac:dyDescent="0.3">
      <c r="B126" s="2"/>
      <c r="D126" s="1"/>
      <c r="E126" s="1"/>
    </row>
    <row r="127" spans="2:5" x14ac:dyDescent="0.3">
      <c r="B127" s="2"/>
      <c r="D127" s="1"/>
      <c r="E127" s="1"/>
    </row>
    <row r="128" spans="2:5" x14ac:dyDescent="0.3">
      <c r="B128" s="2"/>
      <c r="D128" s="1"/>
      <c r="E128" s="1"/>
    </row>
    <row r="129" spans="2:5" x14ac:dyDescent="0.3">
      <c r="B129" s="2"/>
      <c r="D129" s="1"/>
      <c r="E129" s="1"/>
    </row>
    <row r="130" spans="2:5" x14ac:dyDescent="0.3">
      <c r="B130" s="2"/>
      <c r="D130" s="1"/>
      <c r="E130" s="1"/>
    </row>
    <row r="131" spans="2:5" x14ac:dyDescent="0.3">
      <c r="B131" s="2"/>
      <c r="D131" s="1"/>
      <c r="E131" s="1"/>
    </row>
    <row r="132" spans="2:5" x14ac:dyDescent="0.3">
      <c r="B132" s="2"/>
      <c r="D132" s="1"/>
      <c r="E132" s="1"/>
    </row>
    <row r="133" spans="2:5" x14ac:dyDescent="0.3">
      <c r="B133" s="2"/>
      <c r="D133" s="1"/>
      <c r="E133" s="1"/>
    </row>
    <row r="134" spans="2:5" x14ac:dyDescent="0.3">
      <c r="B134" s="2"/>
      <c r="D134" s="1"/>
      <c r="E134" s="1"/>
    </row>
    <row r="135" spans="2:5" x14ac:dyDescent="0.3">
      <c r="B135" s="2"/>
      <c r="D135" s="1"/>
      <c r="E135" s="1"/>
    </row>
    <row r="136" spans="2:5" x14ac:dyDescent="0.3">
      <c r="B136" s="2"/>
      <c r="D136" s="1"/>
      <c r="E136" s="1"/>
    </row>
    <row r="137" spans="2:5" x14ac:dyDescent="0.3">
      <c r="B137" s="2"/>
      <c r="D137" s="1"/>
      <c r="E137" s="1"/>
    </row>
    <row r="138" spans="2:5" x14ac:dyDescent="0.3">
      <c r="B138" s="2"/>
      <c r="D138" s="1"/>
      <c r="E138" s="1"/>
    </row>
    <row r="139" spans="2:5" x14ac:dyDescent="0.3">
      <c r="B139" s="2"/>
      <c r="D139" s="1"/>
      <c r="E139" s="1"/>
    </row>
    <row r="140" spans="2:5" x14ac:dyDescent="0.3">
      <c r="B140" s="2"/>
      <c r="D140" s="1"/>
      <c r="E140" s="1"/>
    </row>
    <row r="141" spans="2:5" x14ac:dyDescent="0.3">
      <c r="B141" s="2"/>
      <c r="D141" s="1"/>
      <c r="E141" s="1"/>
    </row>
    <row r="142" spans="2:5" x14ac:dyDescent="0.3">
      <c r="B142" s="2"/>
      <c r="D142" s="1"/>
      <c r="E142" s="1"/>
    </row>
    <row r="143" spans="2:5" x14ac:dyDescent="0.3">
      <c r="B143" s="2"/>
      <c r="D143" s="1"/>
      <c r="E143" s="1"/>
    </row>
    <row r="144" spans="2:5" x14ac:dyDescent="0.3">
      <c r="B144" s="2"/>
      <c r="D144" s="1"/>
      <c r="E144" s="1"/>
    </row>
    <row r="145" spans="2:5" x14ac:dyDescent="0.3">
      <c r="B145" s="2"/>
      <c r="D145" s="1"/>
      <c r="E145" s="1"/>
    </row>
    <row r="146" spans="2:5" x14ac:dyDescent="0.3">
      <c r="B146" s="2"/>
      <c r="D146" s="1"/>
      <c r="E146" s="1"/>
    </row>
    <row r="147" spans="2:5" x14ac:dyDescent="0.3">
      <c r="B147" s="2"/>
      <c r="D147" s="1"/>
      <c r="E147" s="1"/>
    </row>
    <row r="148" spans="2:5" x14ac:dyDescent="0.3">
      <c r="B148" s="2"/>
      <c r="D148" s="1"/>
      <c r="E148" s="1"/>
    </row>
    <row r="149" spans="2:5" x14ac:dyDescent="0.3">
      <c r="B149" s="2"/>
      <c r="D149" s="1"/>
      <c r="E149" s="1"/>
    </row>
    <row r="150" spans="2:5" x14ac:dyDescent="0.3">
      <c r="B150" s="2"/>
      <c r="D150" s="1"/>
      <c r="E150" s="1"/>
    </row>
    <row r="151" spans="2:5" x14ac:dyDescent="0.3">
      <c r="B151" s="2"/>
      <c r="D151" s="1"/>
      <c r="E151" s="1"/>
    </row>
    <row r="152" spans="2:5" x14ac:dyDescent="0.3">
      <c r="B152" s="2"/>
      <c r="D152" s="1"/>
      <c r="E152" s="1"/>
    </row>
    <row r="153" spans="2:5" x14ac:dyDescent="0.3">
      <c r="B153" s="2"/>
      <c r="D153" s="1"/>
      <c r="E153" s="1"/>
    </row>
    <row r="154" spans="2:5" x14ac:dyDescent="0.3">
      <c r="B154" s="2"/>
      <c r="D154" s="1"/>
      <c r="E154" s="1"/>
    </row>
    <row r="155" spans="2:5" x14ac:dyDescent="0.3">
      <c r="B155" s="2"/>
      <c r="D155" s="1"/>
      <c r="E155" s="1"/>
    </row>
    <row r="156" spans="2:5" x14ac:dyDescent="0.3">
      <c r="B156" s="2"/>
      <c r="D156" s="1"/>
      <c r="E156" s="1"/>
    </row>
    <row r="157" spans="2:5" x14ac:dyDescent="0.3">
      <c r="B157" s="2"/>
      <c r="D157" s="1"/>
      <c r="E157" s="1"/>
    </row>
    <row r="158" spans="2:5" x14ac:dyDescent="0.3">
      <c r="B158" s="2"/>
      <c r="D158" s="1"/>
      <c r="E158" s="1"/>
    </row>
    <row r="159" spans="2:5" x14ac:dyDescent="0.3">
      <c r="B159" s="2"/>
      <c r="D159" s="1"/>
      <c r="E159" s="1"/>
    </row>
    <row r="160" spans="2:5" x14ac:dyDescent="0.3">
      <c r="B160" s="2"/>
      <c r="D160" s="1"/>
      <c r="E160" s="1"/>
    </row>
    <row r="161" spans="2:5" x14ac:dyDescent="0.3">
      <c r="B161" s="2"/>
      <c r="D161" s="1"/>
      <c r="E161" s="1"/>
    </row>
    <row r="162" spans="2:5" x14ac:dyDescent="0.3">
      <c r="B162" s="2"/>
      <c r="D162" s="1"/>
      <c r="E162" s="1"/>
    </row>
    <row r="163" spans="2:5" x14ac:dyDescent="0.3">
      <c r="B163" s="2"/>
      <c r="D163" s="1"/>
      <c r="E163" s="1"/>
    </row>
    <row r="164" spans="2:5" x14ac:dyDescent="0.3">
      <c r="B164" s="2"/>
      <c r="D164" s="1"/>
      <c r="E164" s="1"/>
    </row>
    <row r="165" spans="2:5" x14ac:dyDescent="0.3">
      <c r="B165" s="2"/>
      <c r="D165" s="1"/>
      <c r="E165" s="1"/>
    </row>
    <row r="166" spans="2:5" x14ac:dyDescent="0.3">
      <c r="B166" s="2"/>
      <c r="D166" s="1"/>
      <c r="E166" s="1"/>
    </row>
    <row r="167" spans="2:5" x14ac:dyDescent="0.3">
      <c r="B167" s="2"/>
      <c r="D167" s="1"/>
      <c r="E167" s="1"/>
    </row>
    <row r="168" spans="2:5" x14ac:dyDescent="0.3">
      <c r="B168" s="2"/>
      <c r="D168" s="1"/>
      <c r="E168" s="1"/>
    </row>
    <row r="169" spans="2:5" x14ac:dyDescent="0.3">
      <c r="B169" s="2"/>
      <c r="D169" s="1"/>
      <c r="E169" s="1"/>
    </row>
    <row r="170" spans="2:5" x14ac:dyDescent="0.3">
      <c r="B170" s="2"/>
      <c r="D170" s="1"/>
      <c r="E170" s="1"/>
    </row>
    <row r="171" spans="2:5" x14ac:dyDescent="0.3">
      <c r="B171" s="2"/>
      <c r="D171" s="1"/>
      <c r="E171" s="1"/>
    </row>
    <row r="172" spans="2:5" x14ac:dyDescent="0.3">
      <c r="B172" s="2"/>
      <c r="D172" s="1"/>
      <c r="E172" s="1"/>
    </row>
    <row r="173" spans="2:5" x14ac:dyDescent="0.3">
      <c r="B173" s="2"/>
      <c r="D173" s="1"/>
      <c r="E173" s="1"/>
    </row>
    <row r="174" spans="2:5" x14ac:dyDescent="0.3">
      <c r="B174" s="2"/>
      <c r="D174" s="1"/>
      <c r="E174" s="1"/>
    </row>
    <row r="175" spans="2:5" x14ac:dyDescent="0.3">
      <c r="B175" s="2"/>
      <c r="D175" s="1"/>
      <c r="E175" s="1"/>
    </row>
    <row r="176" spans="2:5" x14ac:dyDescent="0.3">
      <c r="B176" s="2"/>
      <c r="D176" s="1"/>
      <c r="E176" s="1"/>
    </row>
    <row r="177" spans="2:5" x14ac:dyDescent="0.3">
      <c r="B177" s="2"/>
      <c r="D177" s="1"/>
      <c r="E177" s="1"/>
    </row>
    <row r="178" spans="2:5" x14ac:dyDescent="0.3">
      <c r="B178" s="2"/>
      <c r="D178" s="1"/>
      <c r="E178" s="1"/>
    </row>
    <row r="179" spans="2:5" x14ac:dyDescent="0.3">
      <c r="B179" s="2"/>
      <c r="D179" s="1"/>
      <c r="E179" s="1"/>
    </row>
    <row r="180" spans="2:5" x14ac:dyDescent="0.3">
      <c r="B180" s="2"/>
      <c r="D180" s="1"/>
      <c r="E180" s="1"/>
    </row>
    <row r="181" spans="2:5" x14ac:dyDescent="0.3">
      <c r="B181" s="2"/>
      <c r="D181" s="1"/>
      <c r="E181" s="1"/>
    </row>
    <row r="182" spans="2:5" x14ac:dyDescent="0.3">
      <c r="B182" s="2"/>
      <c r="D182" s="1"/>
      <c r="E182" s="1"/>
    </row>
    <row r="183" spans="2:5" x14ac:dyDescent="0.3">
      <c r="B183" s="2"/>
      <c r="D183" s="1"/>
      <c r="E183" s="1"/>
    </row>
    <row r="184" spans="2:5" x14ac:dyDescent="0.3">
      <c r="B184" s="2"/>
      <c r="D184" s="1"/>
      <c r="E184" s="1"/>
    </row>
    <row r="185" spans="2:5" x14ac:dyDescent="0.3">
      <c r="B185" s="2"/>
      <c r="D185" s="1"/>
      <c r="E185" s="1"/>
    </row>
    <row r="186" spans="2:5" x14ac:dyDescent="0.3">
      <c r="B186" s="2"/>
      <c r="D186" s="1"/>
      <c r="E186" s="1"/>
    </row>
    <row r="187" spans="2:5" x14ac:dyDescent="0.3">
      <c r="B187" s="2"/>
      <c r="D187" s="1"/>
      <c r="E187" s="1"/>
    </row>
    <row r="188" spans="2:5" x14ac:dyDescent="0.3">
      <c r="B188" s="2"/>
      <c r="D188" s="1"/>
      <c r="E188" s="1"/>
    </row>
    <row r="189" spans="2:5" x14ac:dyDescent="0.3">
      <c r="B189" s="2"/>
      <c r="D189" s="1"/>
      <c r="E189" s="1"/>
    </row>
    <row r="190" spans="2:5" x14ac:dyDescent="0.3">
      <c r="B190" s="2"/>
      <c r="D190" s="1"/>
      <c r="E190" s="1"/>
    </row>
    <row r="191" spans="2:5" x14ac:dyDescent="0.3">
      <c r="B191" s="2"/>
      <c r="D191" s="1"/>
      <c r="E191" s="1"/>
    </row>
    <row r="192" spans="2:5" x14ac:dyDescent="0.3">
      <c r="B192" s="2"/>
      <c r="D192" s="1"/>
      <c r="E192" s="1"/>
    </row>
    <row r="193" spans="2:5" x14ac:dyDescent="0.3">
      <c r="B193" s="2"/>
      <c r="D193" s="1"/>
      <c r="E193" s="1"/>
    </row>
    <row r="194" spans="2:5" x14ac:dyDescent="0.3">
      <c r="B194" s="2"/>
      <c r="D194" s="1"/>
      <c r="E194" s="1"/>
    </row>
    <row r="195" spans="2:5" x14ac:dyDescent="0.3">
      <c r="B195" s="2"/>
      <c r="D195" s="1"/>
      <c r="E195" s="1"/>
    </row>
    <row r="196" spans="2:5" x14ac:dyDescent="0.3">
      <c r="B196" s="2"/>
      <c r="D196" s="1"/>
      <c r="E196" s="1"/>
    </row>
    <row r="197" spans="2:5" x14ac:dyDescent="0.3">
      <c r="B197" s="2"/>
      <c r="D197" s="1"/>
      <c r="E197" s="1"/>
    </row>
    <row r="198" spans="2:5" x14ac:dyDescent="0.3">
      <c r="B198" s="2"/>
      <c r="D198" s="1"/>
      <c r="E198" s="1"/>
    </row>
    <row r="199" spans="2:5" x14ac:dyDescent="0.3">
      <c r="B199" s="2"/>
      <c r="D199" s="1"/>
      <c r="E199" s="1"/>
    </row>
    <row r="200" spans="2:5" x14ac:dyDescent="0.3">
      <c r="B200" s="2"/>
      <c r="D200" s="1"/>
      <c r="E200" s="1"/>
    </row>
    <row r="201" spans="2:5" x14ac:dyDescent="0.3">
      <c r="B201" s="2"/>
      <c r="D201" s="1"/>
      <c r="E201" s="1"/>
    </row>
    <row r="202" spans="2:5" x14ac:dyDescent="0.3">
      <c r="B202" s="2"/>
      <c r="D202" s="1"/>
      <c r="E202" s="1"/>
    </row>
    <row r="203" spans="2:5" x14ac:dyDescent="0.3">
      <c r="B203" s="2"/>
      <c r="D203" s="1"/>
      <c r="E203" s="1"/>
    </row>
    <row r="204" spans="2:5" x14ac:dyDescent="0.3">
      <c r="B204" s="2"/>
      <c r="D204" s="1"/>
      <c r="E204" s="1"/>
    </row>
    <row r="205" spans="2:5" x14ac:dyDescent="0.3">
      <c r="B205" s="2"/>
      <c r="D205" s="1"/>
      <c r="E205" s="1"/>
    </row>
    <row r="206" spans="2:5" x14ac:dyDescent="0.3">
      <c r="B206" s="2"/>
      <c r="D206" s="1"/>
      <c r="E206" s="1"/>
    </row>
    <row r="207" spans="2:5" x14ac:dyDescent="0.3">
      <c r="B207" s="2"/>
      <c r="D207" s="1"/>
      <c r="E207" s="1"/>
    </row>
    <row r="208" spans="2:5" x14ac:dyDescent="0.3">
      <c r="B208" s="2"/>
      <c r="D208" s="1"/>
      <c r="E208" s="1"/>
    </row>
    <row r="209" spans="2:5" x14ac:dyDescent="0.3">
      <c r="B209" s="2"/>
      <c r="D209" s="1"/>
      <c r="E209" s="1"/>
    </row>
    <row r="210" spans="2:5" x14ac:dyDescent="0.3">
      <c r="B210" s="2"/>
      <c r="D210" s="1"/>
      <c r="E210" s="1"/>
    </row>
    <row r="211" spans="2:5" x14ac:dyDescent="0.3">
      <c r="B211" s="2"/>
      <c r="D211" s="1"/>
      <c r="E211" s="1"/>
    </row>
    <row r="212" spans="2:5" x14ac:dyDescent="0.3">
      <c r="B212" s="2"/>
      <c r="D212" s="1"/>
      <c r="E212" s="1"/>
    </row>
    <row r="213" spans="2:5" x14ac:dyDescent="0.3">
      <c r="B213" s="2"/>
      <c r="D213" s="1"/>
      <c r="E213" s="1"/>
    </row>
    <row r="214" spans="2:5" x14ac:dyDescent="0.3">
      <c r="D214" s="1"/>
      <c r="E214" s="1"/>
    </row>
    <row r="215" spans="2:5" x14ac:dyDescent="0.3">
      <c r="D215" s="1"/>
      <c r="E215" s="1"/>
    </row>
    <row r="216" spans="2:5" x14ac:dyDescent="0.3">
      <c r="D216" s="1"/>
      <c r="E216" s="1"/>
    </row>
    <row r="217" spans="2:5" x14ac:dyDescent="0.3">
      <c r="D217" s="1"/>
      <c r="E217" s="1"/>
    </row>
    <row r="218" spans="2:5" x14ac:dyDescent="0.3">
      <c r="D218" s="1"/>
      <c r="E218" s="1"/>
    </row>
    <row r="219" spans="2:5" x14ac:dyDescent="0.3">
      <c r="D219" s="1"/>
      <c r="E219" s="1"/>
    </row>
    <row r="220" spans="2:5" x14ac:dyDescent="0.3">
      <c r="D220" s="1"/>
      <c r="E220" s="1"/>
    </row>
    <row r="221" spans="2:5" x14ac:dyDescent="0.3">
      <c r="D221" s="1"/>
      <c r="E22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C820-D97C-480F-AA2F-7A7396D5C607}">
  <sheetPr>
    <pageSetUpPr fitToPage="1"/>
  </sheetPr>
  <dimension ref="B1:AA39"/>
  <sheetViews>
    <sheetView workbookViewId="0">
      <selection activeCell="Y4" sqref="Y4"/>
    </sheetView>
  </sheetViews>
  <sheetFormatPr defaultRowHeight="14.4" x14ac:dyDescent="0.3"/>
  <cols>
    <col min="1" max="1" width="1.6640625" customWidth="1"/>
    <col min="2" max="2" width="5.6640625" customWidth="1"/>
    <col min="3" max="22" width="7.88671875" customWidth="1"/>
    <col min="23" max="23" width="9.44140625" customWidth="1"/>
    <col min="24" max="24" width="9.6640625" customWidth="1"/>
  </cols>
  <sheetData>
    <row r="1" spans="2:27" ht="7.5" customHeight="1" thickBot="1" x14ac:dyDescent="0.35"/>
    <row r="2" spans="2:27" ht="18.600000000000001" thickBot="1" x14ac:dyDescent="0.4">
      <c r="C2" s="67" t="s">
        <v>18</v>
      </c>
      <c r="D2" s="67"/>
      <c r="E2" s="67" t="s">
        <v>19</v>
      </c>
      <c r="F2" s="67"/>
      <c r="G2" s="67" t="s">
        <v>20</v>
      </c>
      <c r="H2" s="67"/>
      <c r="I2" s="67" t="s">
        <v>21</v>
      </c>
      <c r="J2" s="67"/>
      <c r="K2" s="67" t="s">
        <v>22</v>
      </c>
      <c r="L2" s="67"/>
      <c r="M2" s="67" t="s">
        <v>23</v>
      </c>
      <c r="N2" s="67"/>
      <c r="O2" s="67" t="s">
        <v>24</v>
      </c>
      <c r="P2" s="67"/>
      <c r="Q2" s="67" t="s">
        <v>25</v>
      </c>
      <c r="R2" s="67"/>
      <c r="S2" s="67" t="s">
        <v>26</v>
      </c>
      <c r="T2" s="67"/>
      <c r="U2" s="67" t="s">
        <v>27</v>
      </c>
      <c r="V2" s="74"/>
      <c r="W2" s="73" t="s">
        <v>28</v>
      </c>
      <c r="X2" s="67"/>
    </row>
    <row r="3" spans="2:27" ht="15" thickBot="1" x14ac:dyDescent="0.35">
      <c r="B3" s="32" t="s">
        <v>29</v>
      </c>
      <c r="C3" s="24" t="s">
        <v>30</v>
      </c>
      <c r="D3" s="25" t="s">
        <v>31</v>
      </c>
      <c r="E3" s="24" t="s">
        <v>30</v>
      </c>
      <c r="F3" s="25" t="s">
        <v>31</v>
      </c>
      <c r="G3" s="24" t="s">
        <v>30</v>
      </c>
      <c r="H3" s="25" t="s">
        <v>31</v>
      </c>
      <c r="I3" s="24" t="s">
        <v>30</v>
      </c>
      <c r="J3" s="25" t="s">
        <v>31</v>
      </c>
      <c r="K3" s="24" t="s">
        <v>30</v>
      </c>
      <c r="L3" s="25" t="s">
        <v>31</v>
      </c>
      <c r="M3" s="24" t="s">
        <v>30</v>
      </c>
      <c r="N3" s="25" t="s">
        <v>31</v>
      </c>
      <c r="O3" s="24" t="s">
        <v>30</v>
      </c>
      <c r="P3" s="25" t="s">
        <v>31</v>
      </c>
      <c r="Q3" s="24" t="s">
        <v>30</v>
      </c>
      <c r="R3" s="25" t="s">
        <v>31</v>
      </c>
      <c r="S3" s="24" t="s">
        <v>30</v>
      </c>
      <c r="T3" s="25" t="s">
        <v>31</v>
      </c>
      <c r="U3" s="24" t="s">
        <v>30</v>
      </c>
      <c r="V3" s="26" t="s">
        <v>31</v>
      </c>
      <c r="W3" s="27" t="s">
        <v>30</v>
      </c>
      <c r="X3" s="25" t="s">
        <v>31</v>
      </c>
    </row>
    <row r="4" spans="2:27" ht="15" thickBot="1" x14ac:dyDescent="0.35">
      <c r="B4" s="30" t="s">
        <v>32</v>
      </c>
      <c r="C4" s="12">
        <v>35</v>
      </c>
      <c r="D4" s="13">
        <v>0</v>
      </c>
      <c r="E4" s="14">
        <v>35</v>
      </c>
      <c r="F4" s="13">
        <f>39+41.25</f>
        <v>80.25</v>
      </c>
      <c r="G4" s="14">
        <v>35</v>
      </c>
      <c r="H4" s="13">
        <v>0</v>
      </c>
      <c r="I4" s="14">
        <v>35</v>
      </c>
      <c r="J4" s="13">
        <v>0</v>
      </c>
      <c r="K4" s="14"/>
      <c r="L4" s="13"/>
      <c r="M4" s="14"/>
      <c r="N4" s="13"/>
      <c r="O4" s="14"/>
      <c r="P4" s="13"/>
      <c r="Q4" s="14"/>
      <c r="R4" s="13"/>
      <c r="S4" s="14">
        <v>45</v>
      </c>
      <c r="T4" s="13">
        <v>0</v>
      </c>
      <c r="U4" s="12">
        <v>0</v>
      </c>
      <c r="V4" s="19">
        <v>130</v>
      </c>
      <c r="W4" s="14">
        <f>U4+S4+Q4+O4+M4+K4+I4+G4+E4+C4</f>
        <v>185</v>
      </c>
      <c r="X4" s="13">
        <f>V4+T4+R4+P4+N4+L4+J4+H4+F4+D4</f>
        <v>210.25</v>
      </c>
      <c r="Y4" s="1">
        <f>W4</f>
        <v>185</v>
      </c>
      <c r="Z4" s="1">
        <f>X4</f>
        <v>210.25</v>
      </c>
      <c r="AA4" s="1">
        <f>Z4-Y4</f>
        <v>25.25</v>
      </c>
    </row>
    <row r="5" spans="2:27" ht="15" thickBot="1" x14ac:dyDescent="0.35">
      <c r="B5" s="31" t="s">
        <v>33</v>
      </c>
      <c r="C5" s="15">
        <v>9.98</v>
      </c>
      <c r="D5" s="16">
        <v>0</v>
      </c>
      <c r="E5" s="17">
        <v>9.98</v>
      </c>
      <c r="F5" s="16">
        <v>0</v>
      </c>
      <c r="G5" s="17"/>
      <c r="H5" s="16"/>
      <c r="I5" s="17">
        <f>9.6+10+9.8</f>
        <v>29.400000000000002</v>
      </c>
      <c r="J5" s="16">
        <v>0</v>
      </c>
      <c r="K5" s="17"/>
      <c r="L5" s="16"/>
      <c r="M5" s="17"/>
      <c r="N5" s="16"/>
      <c r="O5" s="17"/>
      <c r="P5" s="16"/>
      <c r="Q5" s="17"/>
      <c r="R5" s="16"/>
      <c r="S5" s="17">
        <f>10+14.96</f>
        <v>24.96</v>
      </c>
      <c r="T5" s="16">
        <v>0</v>
      </c>
      <c r="U5" s="15"/>
      <c r="V5" s="20"/>
      <c r="W5" s="17">
        <f t="shared" ref="W5:W26" si="0">U5+S5+Q5+O5+M5+K5+I5+G5+E5+C5</f>
        <v>74.320000000000007</v>
      </c>
      <c r="X5" s="23">
        <f>V5+T5+R5+P5+N5+L5+J5+H5+F5+D5</f>
        <v>0</v>
      </c>
      <c r="Y5" s="1">
        <f>Y4+W5</f>
        <v>259.32</v>
      </c>
      <c r="Z5" s="1">
        <f>Z4+X5</f>
        <v>210.25</v>
      </c>
      <c r="AA5" s="1">
        <f t="shared" ref="AA5:AA22" si="1">Z5-Y5</f>
        <v>-49.069999999999993</v>
      </c>
    </row>
    <row r="6" spans="2:27" ht="15" thickBot="1" x14ac:dyDescent="0.35">
      <c r="B6" s="30" t="s">
        <v>34</v>
      </c>
      <c r="C6" s="15"/>
      <c r="D6" s="16"/>
      <c r="E6" s="17"/>
      <c r="F6" s="16"/>
      <c r="G6" s="17"/>
      <c r="H6" s="16"/>
      <c r="I6" s="17">
        <v>35</v>
      </c>
      <c r="J6" s="16">
        <v>0</v>
      </c>
      <c r="K6" s="17">
        <v>35</v>
      </c>
      <c r="L6" s="16">
        <v>0</v>
      </c>
      <c r="M6" s="17">
        <v>35</v>
      </c>
      <c r="N6" s="16">
        <v>0</v>
      </c>
      <c r="O6" s="17"/>
      <c r="P6" s="16"/>
      <c r="Q6" s="17"/>
      <c r="R6" s="16"/>
      <c r="S6" s="17"/>
      <c r="T6" s="16"/>
      <c r="U6" s="15"/>
      <c r="V6" s="20"/>
      <c r="W6" s="17">
        <f t="shared" si="0"/>
        <v>105</v>
      </c>
      <c r="X6" s="23">
        <f t="shared" ref="X6:X26" si="2">V6+T6+R6+P6+N6+L6+J6+H6+F6+D6</f>
        <v>0</v>
      </c>
      <c r="Y6" s="1">
        <f t="shared" ref="Y6:Y22" si="3">Y5+W6</f>
        <v>364.32</v>
      </c>
      <c r="Z6" s="1">
        <f t="shared" ref="Z6:Z22" si="4">Z5+X6</f>
        <v>210.25</v>
      </c>
      <c r="AA6" s="1">
        <f t="shared" si="1"/>
        <v>-154.07</v>
      </c>
    </row>
    <row r="7" spans="2:27" ht="15" thickBot="1" x14ac:dyDescent="0.35">
      <c r="B7" s="30" t="s">
        <v>35</v>
      </c>
      <c r="C7" s="15"/>
      <c r="D7" s="16"/>
      <c r="E7" s="17"/>
      <c r="F7" s="16"/>
      <c r="G7" s="17"/>
      <c r="H7" s="16"/>
      <c r="I7" s="17"/>
      <c r="J7" s="16"/>
      <c r="K7" s="17"/>
      <c r="L7" s="16"/>
      <c r="M7" s="17"/>
      <c r="N7" s="16"/>
      <c r="O7" s="17">
        <v>35</v>
      </c>
      <c r="P7" s="16">
        <v>0</v>
      </c>
      <c r="Q7" s="17">
        <v>35</v>
      </c>
      <c r="R7" s="16">
        <v>0</v>
      </c>
      <c r="S7" s="17">
        <v>35</v>
      </c>
      <c r="T7" s="16">
        <v>0</v>
      </c>
      <c r="U7" s="15"/>
      <c r="V7" s="20"/>
      <c r="W7" s="17">
        <f t="shared" si="0"/>
        <v>105</v>
      </c>
      <c r="X7" s="23">
        <f t="shared" si="2"/>
        <v>0</v>
      </c>
      <c r="Y7" s="1">
        <f t="shared" si="3"/>
        <v>469.32</v>
      </c>
      <c r="Z7" s="1">
        <f t="shared" si="4"/>
        <v>210.25</v>
      </c>
      <c r="AA7" s="1">
        <f t="shared" si="1"/>
        <v>-259.07</v>
      </c>
    </row>
    <row r="8" spans="2:27" ht="15" thickBot="1" x14ac:dyDescent="0.35">
      <c r="B8" s="30" t="s">
        <v>36</v>
      </c>
      <c r="C8" s="15">
        <v>25</v>
      </c>
      <c r="D8" s="16">
        <v>278.32</v>
      </c>
      <c r="E8" s="17">
        <v>37</v>
      </c>
      <c r="F8" s="16">
        <v>0</v>
      </c>
      <c r="G8" s="17">
        <v>30</v>
      </c>
      <c r="H8" s="16">
        <v>23.75</v>
      </c>
      <c r="I8" s="17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5"/>
      <c r="V8" s="20"/>
      <c r="W8" s="17">
        <f t="shared" si="0"/>
        <v>92</v>
      </c>
      <c r="X8" s="16">
        <f t="shared" si="2"/>
        <v>302.07</v>
      </c>
      <c r="Y8" s="1">
        <f t="shared" si="3"/>
        <v>561.31999999999994</v>
      </c>
      <c r="Z8" s="1">
        <f t="shared" si="4"/>
        <v>512.31999999999994</v>
      </c>
      <c r="AA8" s="1">
        <f t="shared" si="1"/>
        <v>-49</v>
      </c>
    </row>
    <row r="9" spans="2:27" ht="15" thickBot="1" x14ac:dyDescent="0.35">
      <c r="B9" s="30" t="s">
        <v>37</v>
      </c>
      <c r="C9" s="15"/>
      <c r="D9" s="16"/>
      <c r="E9" s="17"/>
      <c r="F9" s="16"/>
      <c r="G9" s="17"/>
      <c r="H9" s="16"/>
      <c r="I9" s="17">
        <v>35</v>
      </c>
      <c r="J9" s="16">
        <v>52.5</v>
      </c>
      <c r="K9" s="17">
        <v>0</v>
      </c>
      <c r="L9" s="16">
        <v>0</v>
      </c>
      <c r="M9" s="17">
        <v>35</v>
      </c>
      <c r="N9" s="16">
        <v>206.25</v>
      </c>
      <c r="O9" s="17"/>
      <c r="P9" s="16"/>
      <c r="Q9" s="17"/>
      <c r="R9" s="16"/>
      <c r="S9" s="17"/>
      <c r="T9" s="16"/>
      <c r="U9" s="15"/>
      <c r="V9" s="20"/>
      <c r="W9" s="17">
        <f t="shared" si="0"/>
        <v>70</v>
      </c>
      <c r="X9" s="16">
        <f t="shared" si="2"/>
        <v>258.75</v>
      </c>
      <c r="Y9" s="1">
        <f t="shared" si="3"/>
        <v>631.31999999999994</v>
      </c>
      <c r="Z9" s="1">
        <f t="shared" si="4"/>
        <v>771.06999999999994</v>
      </c>
      <c r="AA9" s="1">
        <f t="shared" si="1"/>
        <v>139.75</v>
      </c>
    </row>
    <row r="10" spans="2:27" ht="15" thickBot="1" x14ac:dyDescent="0.35">
      <c r="B10" s="30" t="s">
        <v>38</v>
      </c>
      <c r="C10" s="15"/>
      <c r="D10" s="16"/>
      <c r="E10" s="17"/>
      <c r="F10" s="16"/>
      <c r="G10" s="17"/>
      <c r="H10" s="16"/>
      <c r="I10" s="17"/>
      <c r="J10" s="16"/>
      <c r="K10" s="17"/>
      <c r="L10" s="16"/>
      <c r="M10" s="17"/>
      <c r="N10" s="16"/>
      <c r="O10" s="17">
        <v>35</v>
      </c>
      <c r="P10" s="16">
        <v>0</v>
      </c>
      <c r="Q10" s="17">
        <v>35</v>
      </c>
      <c r="R10" s="16">
        <v>0</v>
      </c>
      <c r="S10" s="17">
        <v>38</v>
      </c>
      <c r="T10" s="16">
        <v>0</v>
      </c>
      <c r="U10" s="15"/>
      <c r="V10" s="20"/>
      <c r="W10" s="17">
        <f t="shared" si="0"/>
        <v>108</v>
      </c>
      <c r="X10" s="23">
        <f t="shared" si="2"/>
        <v>0</v>
      </c>
      <c r="Y10" s="1">
        <f t="shared" si="3"/>
        <v>739.31999999999994</v>
      </c>
      <c r="Z10" s="1">
        <f t="shared" si="4"/>
        <v>771.06999999999994</v>
      </c>
      <c r="AA10" s="1">
        <f t="shared" si="1"/>
        <v>31.75</v>
      </c>
    </row>
    <row r="11" spans="2:27" ht="15" thickBot="1" x14ac:dyDescent="0.35">
      <c r="B11" s="30" t="s">
        <v>39</v>
      </c>
      <c r="C11" s="15">
        <v>35</v>
      </c>
      <c r="D11" s="16">
        <v>0</v>
      </c>
      <c r="E11" s="17">
        <v>35</v>
      </c>
      <c r="F11" s="16">
        <v>0</v>
      </c>
      <c r="G11" s="17">
        <v>35</v>
      </c>
      <c r="H11" s="16">
        <v>221.13</v>
      </c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6"/>
      <c r="U11" s="15"/>
      <c r="V11" s="20"/>
      <c r="W11" s="17">
        <f t="shared" si="0"/>
        <v>105</v>
      </c>
      <c r="X11" s="16">
        <f t="shared" si="2"/>
        <v>221.13</v>
      </c>
      <c r="Y11" s="1">
        <f t="shared" si="3"/>
        <v>844.31999999999994</v>
      </c>
      <c r="Z11" s="1">
        <f t="shared" si="4"/>
        <v>992.19999999999993</v>
      </c>
      <c r="AA11" s="1">
        <f t="shared" si="1"/>
        <v>147.88</v>
      </c>
    </row>
    <row r="12" spans="2:27" ht="15" thickBot="1" x14ac:dyDescent="0.35">
      <c r="B12" s="30" t="s">
        <v>40</v>
      </c>
      <c r="C12" s="15"/>
      <c r="D12" s="16"/>
      <c r="E12" s="17"/>
      <c r="F12" s="16"/>
      <c r="G12" s="17"/>
      <c r="H12" s="16"/>
      <c r="I12" s="17">
        <v>35</v>
      </c>
      <c r="J12" s="16">
        <v>0</v>
      </c>
      <c r="K12" s="17">
        <v>70</v>
      </c>
      <c r="L12" s="16">
        <v>0</v>
      </c>
      <c r="M12" s="17">
        <v>35</v>
      </c>
      <c r="N12" s="16">
        <v>0</v>
      </c>
      <c r="O12" s="17"/>
      <c r="P12" s="16"/>
      <c r="Q12" s="17"/>
      <c r="R12" s="16"/>
      <c r="S12" s="17"/>
      <c r="T12" s="16"/>
      <c r="U12" s="15"/>
      <c r="V12" s="20"/>
      <c r="W12" s="17">
        <f t="shared" si="0"/>
        <v>140</v>
      </c>
      <c r="X12" s="23">
        <f t="shared" si="2"/>
        <v>0</v>
      </c>
      <c r="Y12" s="1">
        <f t="shared" si="3"/>
        <v>984.31999999999994</v>
      </c>
      <c r="Z12" s="1">
        <f t="shared" si="4"/>
        <v>992.19999999999993</v>
      </c>
      <c r="AA12" s="1">
        <f t="shared" si="1"/>
        <v>7.8799999999999955</v>
      </c>
    </row>
    <row r="13" spans="2:27" ht="15" thickBot="1" x14ac:dyDescent="0.35">
      <c r="B13" s="30" t="s">
        <v>41</v>
      </c>
      <c r="C13" s="15"/>
      <c r="D13" s="16"/>
      <c r="E13" s="17"/>
      <c r="F13" s="16"/>
      <c r="G13" s="17"/>
      <c r="H13" s="16"/>
      <c r="I13" s="17"/>
      <c r="J13" s="16"/>
      <c r="K13" s="17"/>
      <c r="L13" s="16"/>
      <c r="M13" s="17"/>
      <c r="N13" s="16"/>
      <c r="O13" s="17">
        <v>35</v>
      </c>
      <c r="P13" s="16">
        <v>0</v>
      </c>
      <c r="Q13" s="17">
        <v>35</v>
      </c>
      <c r="R13" s="16">
        <v>0</v>
      </c>
      <c r="S13" s="17">
        <v>35</v>
      </c>
      <c r="T13" s="16">
        <v>0</v>
      </c>
      <c r="U13" s="15"/>
      <c r="V13" s="20"/>
      <c r="W13" s="17">
        <f t="shared" si="0"/>
        <v>105</v>
      </c>
      <c r="X13" s="23">
        <f t="shared" si="2"/>
        <v>0</v>
      </c>
      <c r="Y13" s="1">
        <f t="shared" si="3"/>
        <v>1089.32</v>
      </c>
      <c r="Z13" s="1">
        <f t="shared" si="4"/>
        <v>992.19999999999993</v>
      </c>
      <c r="AA13" s="1">
        <f t="shared" si="1"/>
        <v>-97.12</v>
      </c>
    </row>
    <row r="14" spans="2:27" ht="15" thickBot="1" x14ac:dyDescent="0.35">
      <c r="B14" s="30" t="s">
        <v>42</v>
      </c>
      <c r="C14" s="15">
        <v>35</v>
      </c>
      <c r="D14" s="16">
        <v>0</v>
      </c>
      <c r="E14" s="17">
        <v>30</v>
      </c>
      <c r="F14" s="16">
        <v>0</v>
      </c>
      <c r="G14" s="17">
        <v>35</v>
      </c>
      <c r="H14" s="16">
        <v>70</v>
      </c>
      <c r="I14" s="17"/>
      <c r="J14" s="16"/>
      <c r="K14" s="17"/>
      <c r="L14" s="16"/>
      <c r="M14" s="17"/>
      <c r="N14" s="16"/>
      <c r="O14" s="17"/>
      <c r="P14" s="16"/>
      <c r="Q14" s="17"/>
      <c r="R14" s="16"/>
      <c r="S14" s="17"/>
      <c r="T14" s="16"/>
      <c r="U14" s="15"/>
      <c r="V14" s="20"/>
      <c r="W14" s="17">
        <f t="shared" si="0"/>
        <v>100</v>
      </c>
      <c r="X14" s="16">
        <f t="shared" si="2"/>
        <v>70</v>
      </c>
      <c r="Y14" s="1">
        <f t="shared" si="3"/>
        <v>1189.32</v>
      </c>
      <c r="Z14" s="1">
        <f t="shared" si="4"/>
        <v>1062.1999999999998</v>
      </c>
      <c r="AA14" s="1">
        <f t="shared" si="1"/>
        <v>-127.12000000000012</v>
      </c>
    </row>
    <row r="15" spans="2:27" ht="15" thickBot="1" x14ac:dyDescent="0.35">
      <c r="B15" s="30" t="s">
        <v>43</v>
      </c>
      <c r="C15" s="15"/>
      <c r="D15" s="16"/>
      <c r="E15" s="17"/>
      <c r="F15" s="16"/>
      <c r="G15" s="17"/>
      <c r="H15" s="16"/>
      <c r="I15" s="17">
        <v>35</v>
      </c>
      <c r="J15" s="16">
        <v>0</v>
      </c>
      <c r="K15" s="17">
        <v>30</v>
      </c>
      <c r="L15" s="16">
        <v>0</v>
      </c>
      <c r="M15" s="17">
        <v>35</v>
      </c>
      <c r="N15" s="16">
        <v>0</v>
      </c>
      <c r="O15" s="17"/>
      <c r="P15" s="16"/>
      <c r="Q15" s="17"/>
      <c r="R15" s="16"/>
      <c r="S15" s="17"/>
      <c r="T15" s="16"/>
      <c r="U15" s="15"/>
      <c r="V15" s="20"/>
      <c r="W15" s="17">
        <f t="shared" si="0"/>
        <v>100</v>
      </c>
      <c r="X15" s="23">
        <f t="shared" si="2"/>
        <v>0</v>
      </c>
      <c r="Y15" s="1">
        <f t="shared" si="3"/>
        <v>1289.32</v>
      </c>
      <c r="Z15" s="1">
        <f t="shared" si="4"/>
        <v>1062.1999999999998</v>
      </c>
      <c r="AA15" s="1">
        <f t="shared" si="1"/>
        <v>-227.12000000000012</v>
      </c>
    </row>
    <row r="16" spans="2:27" ht="15" thickBot="1" x14ac:dyDescent="0.35">
      <c r="B16" s="30" t="s">
        <v>44</v>
      </c>
      <c r="C16" s="15"/>
      <c r="D16" s="16"/>
      <c r="E16" s="17"/>
      <c r="F16" s="16"/>
      <c r="G16" s="17"/>
      <c r="H16" s="16"/>
      <c r="I16" s="17"/>
      <c r="J16" s="16"/>
      <c r="K16" s="17"/>
      <c r="L16" s="16"/>
      <c r="M16" s="17"/>
      <c r="N16" s="16"/>
      <c r="O16" s="17">
        <v>35</v>
      </c>
      <c r="P16" s="16">
        <v>0</v>
      </c>
      <c r="Q16" s="17">
        <v>35</v>
      </c>
      <c r="R16" s="16">
        <v>0</v>
      </c>
      <c r="S16" s="17">
        <v>35</v>
      </c>
      <c r="T16" s="16">
        <v>103.5</v>
      </c>
      <c r="U16" s="15"/>
      <c r="V16" s="20"/>
      <c r="W16" s="17">
        <f t="shared" si="0"/>
        <v>105</v>
      </c>
      <c r="X16" s="16">
        <f t="shared" si="2"/>
        <v>103.5</v>
      </c>
      <c r="Y16" s="1">
        <f t="shared" si="3"/>
        <v>1394.32</v>
      </c>
      <c r="Z16" s="1">
        <f t="shared" si="4"/>
        <v>1165.6999999999998</v>
      </c>
      <c r="AA16" s="1">
        <f t="shared" si="1"/>
        <v>-228.62000000000012</v>
      </c>
    </row>
    <row r="17" spans="2:27" ht="15" thickBot="1" x14ac:dyDescent="0.35">
      <c r="B17" s="30" t="s">
        <v>45</v>
      </c>
      <c r="C17" s="15">
        <v>35</v>
      </c>
      <c r="D17" s="16">
        <v>0</v>
      </c>
      <c r="E17" s="17">
        <v>30</v>
      </c>
      <c r="F17" s="16">
        <v>0</v>
      </c>
      <c r="G17" s="17">
        <v>35</v>
      </c>
      <c r="H17" s="16">
        <v>0</v>
      </c>
      <c r="I17" s="17"/>
      <c r="J17" s="16"/>
      <c r="K17" s="17"/>
      <c r="L17" s="16"/>
      <c r="M17" s="17"/>
      <c r="N17" s="16"/>
      <c r="O17" s="17"/>
      <c r="P17" s="16"/>
      <c r="Q17" s="17"/>
      <c r="R17" s="16"/>
      <c r="S17" s="17"/>
      <c r="T17" s="16"/>
      <c r="U17" s="15"/>
      <c r="V17" s="20"/>
      <c r="W17" s="17">
        <f t="shared" si="0"/>
        <v>100</v>
      </c>
      <c r="X17" s="23">
        <f t="shared" si="2"/>
        <v>0</v>
      </c>
      <c r="Y17" s="1">
        <f t="shared" si="3"/>
        <v>1494.32</v>
      </c>
      <c r="Z17" s="1">
        <f t="shared" si="4"/>
        <v>1165.6999999999998</v>
      </c>
      <c r="AA17" s="1">
        <f t="shared" si="1"/>
        <v>-328.62000000000012</v>
      </c>
    </row>
    <row r="18" spans="2:27" ht="15" thickBot="1" x14ac:dyDescent="0.35">
      <c r="B18" s="30" t="s">
        <v>46</v>
      </c>
      <c r="C18" s="15"/>
      <c r="D18" s="16"/>
      <c r="E18" s="17"/>
      <c r="F18" s="16"/>
      <c r="G18" s="17"/>
      <c r="H18" s="16"/>
      <c r="I18" s="17">
        <v>20</v>
      </c>
      <c r="J18" s="16">
        <v>0</v>
      </c>
      <c r="K18" s="17">
        <v>30</v>
      </c>
      <c r="L18" s="16">
        <v>0</v>
      </c>
      <c r="M18" s="17">
        <v>30</v>
      </c>
      <c r="N18" s="16">
        <v>0</v>
      </c>
      <c r="O18" s="17"/>
      <c r="P18" s="16"/>
      <c r="Q18" s="17"/>
      <c r="R18" s="16"/>
      <c r="S18" s="17"/>
      <c r="T18" s="16"/>
      <c r="U18" s="15"/>
      <c r="V18" s="20"/>
      <c r="W18" s="17">
        <f t="shared" si="0"/>
        <v>80</v>
      </c>
      <c r="X18" s="23">
        <f t="shared" si="2"/>
        <v>0</v>
      </c>
      <c r="Y18" s="1">
        <f t="shared" si="3"/>
        <v>1574.32</v>
      </c>
      <c r="Z18" s="1">
        <f t="shared" si="4"/>
        <v>1165.6999999999998</v>
      </c>
      <c r="AA18" s="1">
        <f t="shared" si="1"/>
        <v>-408.62000000000012</v>
      </c>
    </row>
    <row r="19" spans="2:27" ht="15" thickBot="1" x14ac:dyDescent="0.35">
      <c r="B19" s="30" t="s">
        <v>47</v>
      </c>
      <c r="C19" s="15"/>
      <c r="D19" s="16"/>
      <c r="E19" s="17"/>
      <c r="F19" s="16"/>
      <c r="G19" s="17"/>
      <c r="H19" s="16"/>
      <c r="I19" s="17"/>
      <c r="J19" s="16"/>
      <c r="K19" s="17"/>
      <c r="L19" s="16"/>
      <c r="M19" s="17"/>
      <c r="N19" s="16"/>
      <c r="O19" s="17">
        <v>35</v>
      </c>
      <c r="P19" s="16">
        <v>0</v>
      </c>
      <c r="Q19" s="17">
        <v>35</v>
      </c>
      <c r="R19" s="16">
        <v>0</v>
      </c>
      <c r="S19" s="17">
        <v>35</v>
      </c>
      <c r="T19" s="16">
        <v>20.6</v>
      </c>
      <c r="U19" s="15"/>
      <c r="V19" s="20"/>
      <c r="W19" s="17">
        <f t="shared" si="0"/>
        <v>105</v>
      </c>
      <c r="X19" s="16">
        <f t="shared" si="2"/>
        <v>20.6</v>
      </c>
      <c r="Y19" s="1">
        <f t="shared" si="3"/>
        <v>1679.32</v>
      </c>
      <c r="Z19" s="1">
        <f t="shared" si="4"/>
        <v>1186.2999999999997</v>
      </c>
      <c r="AA19" s="1">
        <f t="shared" si="1"/>
        <v>-493.02000000000021</v>
      </c>
    </row>
    <row r="20" spans="2:27" ht="15" thickBot="1" x14ac:dyDescent="0.35">
      <c r="B20" s="30" t="s">
        <v>48</v>
      </c>
      <c r="C20" s="15">
        <v>35</v>
      </c>
      <c r="D20" s="16">
        <v>0</v>
      </c>
      <c r="E20" s="17">
        <v>35</v>
      </c>
      <c r="F20" s="16">
        <v>0</v>
      </c>
      <c r="G20" s="17">
        <v>35</v>
      </c>
      <c r="H20" s="16">
        <v>0</v>
      </c>
      <c r="I20" s="17"/>
      <c r="J20" s="16"/>
      <c r="K20" s="17"/>
      <c r="L20" s="16"/>
      <c r="M20" s="17"/>
      <c r="N20" s="16"/>
      <c r="O20" s="17"/>
      <c r="P20" s="16"/>
      <c r="Q20" s="17"/>
      <c r="R20" s="16"/>
      <c r="S20" s="17"/>
      <c r="T20" s="16"/>
      <c r="U20" s="15"/>
      <c r="V20" s="20"/>
      <c r="W20" s="17">
        <f t="shared" si="0"/>
        <v>105</v>
      </c>
      <c r="X20" s="23">
        <f t="shared" si="2"/>
        <v>0</v>
      </c>
      <c r="Y20" s="1">
        <f t="shared" si="3"/>
        <v>1784.32</v>
      </c>
      <c r="Z20" s="1">
        <f t="shared" si="4"/>
        <v>1186.2999999999997</v>
      </c>
      <c r="AA20" s="1">
        <f t="shared" si="1"/>
        <v>-598.02000000000021</v>
      </c>
    </row>
    <row r="21" spans="2:27" ht="15" thickBot="1" x14ac:dyDescent="0.35">
      <c r="B21" s="30" t="s">
        <v>49</v>
      </c>
      <c r="C21" s="15"/>
      <c r="D21" s="16"/>
      <c r="E21" s="17"/>
      <c r="F21" s="16"/>
      <c r="G21" s="17"/>
      <c r="H21" s="16"/>
      <c r="I21" s="17">
        <v>35</v>
      </c>
      <c r="J21" s="16">
        <f>93.39+77.65</f>
        <v>171.04000000000002</v>
      </c>
      <c r="K21" s="17">
        <v>45</v>
      </c>
      <c r="L21" s="16">
        <v>0</v>
      </c>
      <c r="M21" s="17">
        <v>35</v>
      </c>
      <c r="N21" s="16">
        <v>0</v>
      </c>
      <c r="O21" s="17"/>
      <c r="P21" s="16"/>
      <c r="Q21" s="17"/>
      <c r="R21" s="16"/>
      <c r="S21" s="17"/>
      <c r="T21" s="16"/>
      <c r="U21" s="15"/>
      <c r="V21" s="20"/>
      <c r="W21" s="17">
        <f t="shared" si="0"/>
        <v>115</v>
      </c>
      <c r="X21" s="16">
        <f t="shared" si="2"/>
        <v>171.04000000000002</v>
      </c>
      <c r="Y21" s="1">
        <f t="shared" si="3"/>
        <v>1899.32</v>
      </c>
      <c r="Z21" s="1">
        <f t="shared" si="4"/>
        <v>1357.3399999999997</v>
      </c>
      <c r="AA21" s="1">
        <f t="shared" si="1"/>
        <v>-541.98000000000025</v>
      </c>
    </row>
    <row r="22" spans="2:27" ht="15" thickBot="1" x14ac:dyDescent="0.35">
      <c r="B22" s="30" t="s">
        <v>50</v>
      </c>
      <c r="C22" s="15"/>
      <c r="D22" s="16"/>
      <c r="E22" s="17"/>
      <c r="F22" s="16"/>
      <c r="G22" s="17"/>
      <c r="H22" s="16"/>
      <c r="I22" s="17"/>
      <c r="J22" s="16"/>
      <c r="K22" s="17"/>
      <c r="L22" s="16"/>
      <c r="M22" s="17"/>
      <c r="N22" s="16"/>
      <c r="O22" s="17">
        <v>35</v>
      </c>
      <c r="P22" s="16">
        <v>0</v>
      </c>
      <c r="Q22" s="17">
        <v>35</v>
      </c>
      <c r="R22" s="16">
        <v>94.92</v>
      </c>
      <c r="S22" s="17">
        <v>35</v>
      </c>
      <c r="T22" s="16">
        <f>39.44+142.5</f>
        <v>181.94</v>
      </c>
      <c r="U22" s="15"/>
      <c r="V22" s="20"/>
      <c r="W22" s="17">
        <f t="shared" si="0"/>
        <v>105</v>
      </c>
      <c r="X22" s="16">
        <f t="shared" si="2"/>
        <v>276.86</v>
      </c>
      <c r="Y22" s="1">
        <f t="shared" si="3"/>
        <v>2004.32</v>
      </c>
      <c r="Z22" s="1">
        <f t="shared" si="4"/>
        <v>1634.1999999999998</v>
      </c>
      <c r="AA22" s="1">
        <f t="shared" si="1"/>
        <v>-370.12000000000012</v>
      </c>
    </row>
    <row r="23" spans="2:27" ht="15" thickBot="1" x14ac:dyDescent="0.35">
      <c r="B23" s="30" t="s">
        <v>51</v>
      </c>
      <c r="C23" s="15">
        <v>35</v>
      </c>
      <c r="D23" s="16">
        <v>0</v>
      </c>
      <c r="E23" s="17">
        <v>40</v>
      </c>
      <c r="F23" s="16">
        <v>140.49</v>
      </c>
      <c r="G23" s="17">
        <v>80</v>
      </c>
      <c r="H23" s="16">
        <v>0</v>
      </c>
      <c r="I23" s="17"/>
      <c r="J23" s="16"/>
      <c r="K23" s="17"/>
      <c r="L23" s="16"/>
      <c r="M23" s="17"/>
      <c r="N23" s="16"/>
      <c r="O23" s="17"/>
      <c r="P23" s="16"/>
      <c r="Q23" s="17"/>
      <c r="R23" s="16"/>
      <c r="S23" s="17"/>
      <c r="T23" s="16"/>
      <c r="U23" s="15"/>
      <c r="V23" s="20"/>
      <c r="W23" s="17">
        <f t="shared" si="0"/>
        <v>155</v>
      </c>
      <c r="X23" s="16">
        <f t="shared" si="2"/>
        <v>140.49</v>
      </c>
      <c r="Y23" s="1">
        <f t="shared" ref="Y23" si="5">Y22+W23</f>
        <v>2159.3199999999997</v>
      </c>
      <c r="Z23" s="1">
        <f t="shared" ref="Z23" si="6">Z22+X23</f>
        <v>1774.6899999999998</v>
      </c>
      <c r="AA23" s="1">
        <f t="shared" ref="AA23" si="7">Z23-Y23</f>
        <v>-384.62999999999988</v>
      </c>
    </row>
    <row r="24" spans="2:27" ht="15" thickBot="1" x14ac:dyDescent="0.35">
      <c r="B24" s="30" t="s">
        <v>52</v>
      </c>
      <c r="C24" s="15"/>
      <c r="D24" s="16"/>
      <c r="E24" s="17"/>
      <c r="F24" s="16"/>
      <c r="G24" s="17"/>
      <c r="H24" s="16"/>
      <c r="I24" s="17">
        <v>25</v>
      </c>
      <c r="J24" s="16">
        <v>0</v>
      </c>
      <c r="K24" s="17">
        <v>15</v>
      </c>
      <c r="L24" s="16">
        <v>0</v>
      </c>
      <c r="M24" s="17">
        <v>10</v>
      </c>
      <c r="N24" s="16">
        <v>0</v>
      </c>
      <c r="O24" s="17"/>
      <c r="P24" s="16"/>
      <c r="Q24" s="17"/>
      <c r="R24" s="16"/>
      <c r="S24" s="17"/>
      <c r="T24" s="16"/>
      <c r="U24" s="15"/>
      <c r="V24" s="20"/>
      <c r="W24" s="17">
        <f t="shared" si="0"/>
        <v>50</v>
      </c>
      <c r="X24" s="16">
        <f t="shared" si="2"/>
        <v>0</v>
      </c>
      <c r="Y24" s="1">
        <f t="shared" ref="Y24:Y26" si="8">Y23+W24</f>
        <v>2209.3199999999997</v>
      </c>
      <c r="Z24" s="1">
        <f t="shared" ref="Z24:Z26" si="9">Z23+X24</f>
        <v>1774.6899999999998</v>
      </c>
      <c r="AA24" s="1">
        <f t="shared" ref="AA24:AA26" si="10">Z24-Y24</f>
        <v>-434.62999999999988</v>
      </c>
    </row>
    <row r="25" spans="2:27" ht="15" thickBot="1" x14ac:dyDescent="0.35">
      <c r="B25" s="30" t="s">
        <v>53</v>
      </c>
      <c r="C25" s="15"/>
      <c r="D25" s="16"/>
      <c r="E25" s="17"/>
      <c r="F25" s="16"/>
      <c r="G25" s="17"/>
      <c r="H25" s="16"/>
      <c r="I25" s="17"/>
      <c r="J25" s="16"/>
      <c r="K25" s="17"/>
      <c r="L25" s="16"/>
      <c r="M25" s="17"/>
      <c r="N25" s="16"/>
      <c r="O25" s="17">
        <v>35.1</v>
      </c>
      <c r="P25" s="16">
        <v>0</v>
      </c>
      <c r="Q25" s="17">
        <v>35</v>
      </c>
      <c r="R25" s="16">
        <v>0</v>
      </c>
      <c r="S25" s="17">
        <v>35</v>
      </c>
      <c r="T25" s="16">
        <v>0</v>
      </c>
      <c r="U25" s="15"/>
      <c r="V25" s="20"/>
      <c r="W25" s="17">
        <f t="shared" si="0"/>
        <v>105.1</v>
      </c>
      <c r="X25" s="16">
        <f t="shared" si="2"/>
        <v>0</v>
      </c>
      <c r="Y25" s="1">
        <f t="shared" si="8"/>
        <v>2314.4199999999996</v>
      </c>
      <c r="Z25" s="1">
        <f t="shared" si="9"/>
        <v>1774.6899999999998</v>
      </c>
      <c r="AA25" s="1">
        <f t="shared" si="10"/>
        <v>-539.72999999999979</v>
      </c>
    </row>
    <row r="26" spans="2:27" ht="15" thickBot="1" x14ac:dyDescent="0.35">
      <c r="B26" s="30" t="s">
        <v>54</v>
      </c>
      <c r="C26" s="15">
        <v>20</v>
      </c>
      <c r="D26" s="16">
        <v>0</v>
      </c>
      <c r="E26" s="17">
        <v>25</v>
      </c>
      <c r="F26" s="16">
        <v>0</v>
      </c>
      <c r="G26" s="17">
        <v>20</v>
      </c>
      <c r="H26" s="16">
        <v>0</v>
      </c>
      <c r="I26" s="17">
        <v>10</v>
      </c>
      <c r="J26" s="16">
        <v>0</v>
      </c>
      <c r="K26" s="17">
        <v>0</v>
      </c>
      <c r="L26" s="16">
        <v>0</v>
      </c>
      <c r="M26" s="17">
        <v>20</v>
      </c>
      <c r="N26" s="16">
        <v>0</v>
      </c>
      <c r="O26" s="17">
        <v>20</v>
      </c>
      <c r="P26" s="16">
        <v>0</v>
      </c>
      <c r="Q26" s="17">
        <v>20</v>
      </c>
      <c r="R26" s="16">
        <v>0</v>
      </c>
      <c r="S26" s="17">
        <v>20</v>
      </c>
      <c r="T26" s="16">
        <v>0</v>
      </c>
      <c r="U26" s="15"/>
      <c r="V26" s="20"/>
      <c r="W26" s="17">
        <f t="shared" si="0"/>
        <v>155</v>
      </c>
      <c r="X26" s="16">
        <f t="shared" si="2"/>
        <v>0</v>
      </c>
      <c r="Y26" s="1">
        <f t="shared" si="8"/>
        <v>2469.4199999999996</v>
      </c>
      <c r="Z26" s="1">
        <f t="shared" si="9"/>
        <v>1774.6899999999998</v>
      </c>
      <c r="AA26" s="1">
        <f t="shared" si="10"/>
        <v>-694.72999999999979</v>
      </c>
    </row>
    <row r="27" spans="2:27" ht="15" thickBot="1" x14ac:dyDescent="0.35">
      <c r="B27" s="11" t="s">
        <v>55</v>
      </c>
      <c r="C27" s="18">
        <f t="shared" ref="C27:X27" si="11">SUM(C4:C26)</f>
        <v>264.98</v>
      </c>
      <c r="D27" s="18">
        <f t="shared" si="11"/>
        <v>278.32</v>
      </c>
      <c r="E27" s="18">
        <f t="shared" si="11"/>
        <v>276.98</v>
      </c>
      <c r="F27" s="18">
        <f t="shared" si="11"/>
        <v>220.74</v>
      </c>
      <c r="G27" s="18">
        <f t="shared" si="11"/>
        <v>305</v>
      </c>
      <c r="H27" s="18">
        <f t="shared" si="11"/>
        <v>314.88</v>
      </c>
      <c r="I27" s="18">
        <f t="shared" si="11"/>
        <v>294.39999999999998</v>
      </c>
      <c r="J27" s="18">
        <f t="shared" si="11"/>
        <v>223.54000000000002</v>
      </c>
      <c r="K27" s="18">
        <f t="shared" si="11"/>
        <v>225</v>
      </c>
      <c r="L27" s="18">
        <f t="shared" si="11"/>
        <v>0</v>
      </c>
      <c r="M27" s="18">
        <f t="shared" si="11"/>
        <v>235</v>
      </c>
      <c r="N27" s="18">
        <f t="shared" si="11"/>
        <v>206.25</v>
      </c>
      <c r="O27" s="18">
        <f t="shared" si="11"/>
        <v>265.10000000000002</v>
      </c>
      <c r="P27" s="18">
        <f t="shared" si="11"/>
        <v>0</v>
      </c>
      <c r="Q27" s="18">
        <f t="shared" si="11"/>
        <v>265</v>
      </c>
      <c r="R27" s="18">
        <f t="shared" si="11"/>
        <v>94.92</v>
      </c>
      <c r="S27" s="18">
        <f t="shared" si="11"/>
        <v>337.96000000000004</v>
      </c>
      <c r="T27" s="18">
        <f t="shared" si="11"/>
        <v>306.03999999999996</v>
      </c>
      <c r="U27" s="18">
        <f t="shared" si="11"/>
        <v>0</v>
      </c>
      <c r="V27" s="21">
        <f t="shared" si="11"/>
        <v>130</v>
      </c>
      <c r="W27" s="29">
        <f t="shared" si="11"/>
        <v>2469.4199999999996</v>
      </c>
      <c r="X27" s="18">
        <f t="shared" si="11"/>
        <v>1774.6899999999998</v>
      </c>
    </row>
    <row r="28" spans="2:27" x14ac:dyDescent="0.3">
      <c r="D28" s="22">
        <f>(D27-C27)/C27</f>
        <v>5.0343422145067457E-2</v>
      </c>
      <c r="F28" s="22">
        <f>(F27-E27)/E27</f>
        <v>-0.20304715141887503</v>
      </c>
      <c r="H28" s="22">
        <f>(H27-G27)/G27</f>
        <v>3.2393442622950804E-2</v>
      </c>
      <c r="J28" s="22">
        <f>(J27-I27)/I27</f>
        <v>-0.24069293478260856</v>
      </c>
      <c r="L28" s="28">
        <f>(L27-K27)/K27</f>
        <v>-1</v>
      </c>
      <c r="N28" s="22">
        <f>(N27-M27)/M27</f>
        <v>-0.12234042553191489</v>
      </c>
      <c r="P28" s="28">
        <f>(P27-O27)/O27</f>
        <v>-1</v>
      </c>
      <c r="R28" s="28">
        <f>(R27-Q27)/Q27</f>
        <v>-0.64181132075471692</v>
      </c>
      <c r="T28" s="28">
        <f>(T27-S27)/S27</f>
        <v>-9.4449047224523811E-2</v>
      </c>
    </row>
    <row r="29" spans="2:27" x14ac:dyDescent="0.3">
      <c r="F29" s="70" t="s">
        <v>56</v>
      </c>
      <c r="G29" s="71"/>
      <c r="H29" s="72"/>
      <c r="I29" s="68">
        <f>C27+E27+G27+I27+K27+M27+O27+Q27+S27+U27</f>
        <v>2469.42</v>
      </c>
      <c r="J29" s="69"/>
    </row>
    <row r="30" spans="2:27" x14ac:dyDescent="0.3">
      <c r="G30" s="75" t="s">
        <v>57</v>
      </c>
      <c r="H30" s="75"/>
      <c r="I30" s="68">
        <f>+D27+F27+H27+J27+L27+N27+P27+R27+T27+V27</f>
        <v>1774.69</v>
      </c>
      <c r="J30" s="69"/>
    </row>
    <row r="31" spans="2:27" x14ac:dyDescent="0.3">
      <c r="I31" s="68">
        <f>I30-I29</f>
        <v>-694.73</v>
      </c>
      <c r="J31" s="69"/>
    </row>
    <row r="32" spans="2:27" x14ac:dyDescent="0.3">
      <c r="C32" s="1">
        <f>C27+E27+G27</f>
        <v>846.96</v>
      </c>
      <c r="D32" s="1">
        <f>D27+F27+H27</f>
        <v>813.94</v>
      </c>
      <c r="E32" s="33">
        <f>D32-C32</f>
        <v>-33.019999999999982</v>
      </c>
      <c r="I32" s="1">
        <f>I27+K27+M27</f>
        <v>754.4</v>
      </c>
      <c r="J32" s="1">
        <f>J27+L27+N27</f>
        <v>429.79</v>
      </c>
      <c r="K32" s="33">
        <f>J32-I32</f>
        <v>-324.60999999999996</v>
      </c>
      <c r="O32" s="1">
        <f>O27+Q27+S27</f>
        <v>868.06000000000006</v>
      </c>
      <c r="P32" s="1">
        <f>P27+R27+T27</f>
        <v>400.96</v>
      </c>
      <c r="Q32" s="33">
        <f>P32-O32</f>
        <v>-467.10000000000008</v>
      </c>
    </row>
    <row r="33" spans="3:16" x14ac:dyDescent="0.3">
      <c r="G33" t="s">
        <v>58</v>
      </c>
      <c r="I33">
        <v>1200</v>
      </c>
    </row>
    <row r="34" spans="3:16" x14ac:dyDescent="0.3">
      <c r="I34" s="69">
        <f>I33+I31</f>
        <v>505.27</v>
      </c>
      <c r="J34" s="69"/>
    </row>
    <row r="38" spans="3:16" x14ac:dyDescent="0.3">
      <c r="C38" s="1">
        <f>C27+E27+G27</f>
        <v>846.96</v>
      </c>
      <c r="D38" s="1">
        <f>D27+F27+H27</f>
        <v>813.94</v>
      </c>
      <c r="I38" s="1">
        <f>I27+K27+M27</f>
        <v>754.4</v>
      </c>
      <c r="J38" s="1">
        <f>J27+L27+N27</f>
        <v>429.79</v>
      </c>
      <c r="O38" s="1">
        <f>O27+Q27+S27</f>
        <v>868.06000000000006</v>
      </c>
      <c r="P38" s="1">
        <f>P27+R27+T27</f>
        <v>400.96</v>
      </c>
    </row>
    <row r="39" spans="3:16" x14ac:dyDescent="0.3">
      <c r="D39" s="1">
        <f>D38-C38</f>
        <v>-33.019999999999982</v>
      </c>
      <c r="J39" s="33">
        <f>J38-I38</f>
        <v>-324.60999999999996</v>
      </c>
      <c r="P39" s="33">
        <f>P38-O38</f>
        <v>-467.10000000000008</v>
      </c>
    </row>
  </sheetData>
  <mergeCells count="17">
    <mergeCell ref="I30:J30"/>
    <mergeCell ref="F29:H29"/>
    <mergeCell ref="I31:J31"/>
    <mergeCell ref="I34:J34"/>
    <mergeCell ref="W2:X2"/>
    <mergeCell ref="U2:V2"/>
    <mergeCell ref="G30:H30"/>
    <mergeCell ref="O2:P2"/>
    <mergeCell ref="Q2:R2"/>
    <mergeCell ref="S2:T2"/>
    <mergeCell ref="M2:N2"/>
    <mergeCell ref="I29:J29"/>
    <mergeCell ref="C2:D2"/>
    <mergeCell ref="E2:F2"/>
    <mergeCell ref="G2:H2"/>
    <mergeCell ref="I2:J2"/>
    <mergeCell ref="K2:L2"/>
  </mergeCells>
  <phoneticPr fontId="5" type="noConversion"/>
  <pageMargins left="0.25" right="0.25" top="0.75" bottom="0.75" header="0.3" footer="0.3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ECD7-BB90-4548-BCE6-10E26E276805}">
  <sheetPr>
    <pageSetUpPr fitToPage="1"/>
  </sheetPr>
  <dimension ref="B1:AA39"/>
  <sheetViews>
    <sheetView workbookViewId="0">
      <selection activeCell="P26" sqref="P26"/>
    </sheetView>
  </sheetViews>
  <sheetFormatPr defaultRowHeight="14.4" x14ac:dyDescent="0.3"/>
  <cols>
    <col min="1" max="1" width="1.6640625" customWidth="1"/>
    <col min="2" max="2" width="5.6640625" customWidth="1"/>
    <col min="3" max="3" width="7.88671875" customWidth="1"/>
    <col min="4" max="4" width="9.109375" customWidth="1"/>
    <col min="5" max="20" width="7.88671875" customWidth="1"/>
    <col min="21" max="22" width="7.88671875" hidden="1" customWidth="1"/>
    <col min="23" max="23" width="9.44140625" customWidth="1"/>
    <col min="24" max="24" width="9.6640625" customWidth="1"/>
  </cols>
  <sheetData>
    <row r="1" spans="2:27" ht="7.5" customHeight="1" thickBot="1" x14ac:dyDescent="0.35"/>
    <row r="2" spans="2:27" ht="18.600000000000001" thickBot="1" x14ac:dyDescent="0.4">
      <c r="C2" s="67" t="s">
        <v>18</v>
      </c>
      <c r="D2" s="67"/>
      <c r="E2" s="67" t="s">
        <v>22</v>
      </c>
      <c r="F2" s="67"/>
      <c r="G2" s="77" t="s">
        <v>21</v>
      </c>
      <c r="H2" s="73"/>
      <c r="I2" s="67" t="s">
        <v>20</v>
      </c>
      <c r="J2" s="67"/>
      <c r="K2" s="67" t="s">
        <v>19</v>
      </c>
      <c r="L2" s="67"/>
      <c r="M2" s="67" t="s">
        <v>25</v>
      </c>
      <c r="N2" s="67"/>
      <c r="O2" s="67" t="s">
        <v>24</v>
      </c>
      <c r="P2" s="67"/>
      <c r="Q2" s="67" t="s">
        <v>23</v>
      </c>
      <c r="R2" s="67"/>
      <c r="S2" s="67" t="s">
        <v>26</v>
      </c>
      <c r="T2" s="67"/>
      <c r="U2" s="67" t="s">
        <v>27</v>
      </c>
      <c r="V2" s="74"/>
      <c r="W2" s="73" t="s">
        <v>28</v>
      </c>
      <c r="X2" s="67"/>
    </row>
    <row r="3" spans="2:27" ht="15" thickBot="1" x14ac:dyDescent="0.35">
      <c r="B3" s="32" t="s">
        <v>29</v>
      </c>
      <c r="C3" s="24" t="s">
        <v>30</v>
      </c>
      <c r="D3" s="25" t="s">
        <v>31</v>
      </c>
      <c r="E3" s="24" t="s">
        <v>30</v>
      </c>
      <c r="F3" s="25" t="s">
        <v>31</v>
      </c>
      <c r="G3" s="24" t="s">
        <v>30</v>
      </c>
      <c r="H3" s="25" t="s">
        <v>31</v>
      </c>
      <c r="I3" s="24" t="s">
        <v>30</v>
      </c>
      <c r="J3" s="25" t="s">
        <v>31</v>
      </c>
      <c r="K3" s="24" t="s">
        <v>30</v>
      </c>
      <c r="L3" s="25" t="s">
        <v>31</v>
      </c>
      <c r="M3" s="24" t="s">
        <v>30</v>
      </c>
      <c r="N3" s="25" t="s">
        <v>31</v>
      </c>
      <c r="O3" s="24" t="s">
        <v>30</v>
      </c>
      <c r="P3" s="25" t="s">
        <v>31</v>
      </c>
      <c r="Q3" s="24" t="s">
        <v>30</v>
      </c>
      <c r="R3" s="25" t="s">
        <v>31</v>
      </c>
      <c r="S3" s="24" t="s">
        <v>30</v>
      </c>
      <c r="T3" s="25" t="s">
        <v>31</v>
      </c>
      <c r="U3" s="24" t="s">
        <v>30</v>
      </c>
      <c r="V3" s="26" t="s">
        <v>31</v>
      </c>
      <c r="W3" s="27" t="s">
        <v>30</v>
      </c>
      <c r="X3" s="25" t="s">
        <v>31</v>
      </c>
    </row>
    <row r="4" spans="2:27" ht="15" thickBot="1" x14ac:dyDescent="0.35">
      <c r="B4" s="30" t="s">
        <v>32</v>
      </c>
      <c r="C4" s="12">
        <v>8</v>
      </c>
      <c r="D4" s="13">
        <v>0</v>
      </c>
      <c r="E4" s="14">
        <v>8</v>
      </c>
      <c r="F4" s="13">
        <v>0</v>
      </c>
      <c r="G4" s="14">
        <v>8</v>
      </c>
      <c r="H4" s="13">
        <v>0</v>
      </c>
      <c r="I4" s="14">
        <v>8</v>
      </c>
      <c r="J4" s="13">
        <v>0</v>
      </c>
      <c r="K4" s="14">
        <v>8</v>
      </c>
      <c r="L4" s="13">
        <v>43.63</v>
      </c>
      <c r="M4" s="14">
        <v>8</v>
      </c>
      <c r="N4" s="13">
        <v>0</v>
      </c>
      <c r="O4" s="14">
        <v>8</v>
      </c>
      <c r="P4" s="13">
        <v>0</v>
      </c>
      <c r="Q4" s="14">
        <v>8</v>
      </c>
      <c r="R4" s="13">
        <v>0</v>
      </c>
      <c r="S4" s="14">
        <v>8</v>
      </c>
      <c r="T4" s="13">
        <v>0</v>
      </c>
      <c r="U4" s="12"/>
      <c r="V4" s="19"/>
      <c r="W4" s="14">
        <f>U4+S4+Q4+O4+M4+K4+I4+G4+E4+C4</f>
        <v>72</v>
      </c>
      <c r="X4" s="13">
        <f>V4+T4+R4+P4+N4+L4+J4+H4+F4+D4</f>
        <v>43.63</v>
      </c>
      <c r="Y4" s="1"/>
      <c r="Z4" s="1"/>
      <c r="AA4" s="1"/>
    </row>
    <row r="5" spans="2:27" ht="15" thickBot="1" x14ac:dyDescent="0.35">
      <c r="B5" s="30" t="s">
        <v>34</v>
      </c>
      <c r="C5" s="15">
        <v>8</v>
      </c>
      <c r="D5" s="16">
        <v>0</v>
      </c>
      <c r="E5" s="17">
        <v>8</v>
      </c>
      <c r="F5" s="16">
        <v>0</v>
      </c>
      <c r="G5" s="17">
        <v>8</v>
      </c>
      <c r="H5" s="16">
        <v>49.35</v>
      </c>
      <c r="I5" s="17">
        <v>8</v>
      </c>
      <c r="J5" s="16">
        <v>0</v>
      </c>
      <c r="K5" s="17">
        <v>8</v>
      </c>
      <c r="L5" s="16">
        <v>0</v>
      </c>
      <c r="M5" s="17">
        <v>8</v>
      </c>
      <c r="N5" s="16">
        <v>0</v>
      </c>
      <c r="O5" s="17">
        <v>8</v>
      </c>
      <c r="P5" s="16">
        <v>0</v>
      </c>
      <c r="Q5" s="17">
        <v>8</v>
      </c>
      <c r="R5" s="16">
        <v>0</v>
      </c>
      <c r="S5" s="17">
        <v>8</v>
      </c>
      <c r="T5" s="16">
        <v>0</v>
      </c>
      <c r="U5" s="15"/>
      <c r="V5" s="20"/>
      <c r="W5" s="17">
        <f t="shared" ref="W5:X26" si="0">U5+S5+Q5+O5+M5+K5+I5+G5+E5+C5</f>
        <v>72</v>
      </c>
      <c r="X5" s="35">
        <f t="shared" si="0"/>
        <v>49.35</v>
      </c>
      <c r="Y5" s="1"/>
      <c r="Z5" s="1"/>
      <c r="AA5" s="1"/>
    </row>
    <row r="6" spans="2:27" ht="15" thickBot="1" x14ac:dyDescent="0.35">
      <c r="B6" s="30" t="s">
        <v>35</v>
      </c>
      <c r="C6" s="15">
        <v>26</v>
      </c>
      <c r="D6" s="16">
        <v>0</v>
      </c>
      <c r="E6" s="17">
        <v>24</v>
      </c>
      <c r="F6" s="16">
        <v>0</v>
      </c>
      <c r="G6" s="17">
        <v>26</v>
      </c>
      <c r="H6" s="16">
        <v>0</v>
      </c>
      <c r="I6" s="17"/>
      <c r="J6" s="16"/>
      <c r="K6" s="17"/>
      <c r="L6" s="16"/>
      <c r="M6" s="17"/>
      <c r="N6" s="16"/>
      <c r="O6" s="17"/>
      <c r="P6" s="16"/>
      <c r="Q6" s="17"/>
      <c r="R6" s="16"/>
      <c r="S6" s="17"/>
      <c r="T6" s="16"/>
      <c r="U6" s="15"/>
      <c r="V6" s="20"/>
      <c r="W6" s="17">
        <f t="shared" si="0"/>
        <v>76</v>
      </c>
      <c r="X6" s="35">
        <f t="shared" si="0"/>
        <v>0</v>
      </c>
      <c r="Y6" s="1"/>
      <c r="Z6" s="1"/>
      <c r="AA6" s="1"/>
    </row>
    <row r="7" spans="2:27" ht="15" thickBot="1" x14ac:dyDescent="0.35">
      <c r="B7" s="30" t="s">
        <v>36</v>
      </c>
      <c r="C7" s="15"/>
      <c r="D7" s="16"/>
      <c r="E7" s="17"/>
      <c r="F7" s="16"/>
      <c r="G7" s="17"/>
      <c r="H7" s="16"/>
      <c r="I7" s="17">
        <v>26</v>
      </c>
      <c r="J7" s="16">
        <v>0</v>
      </c>
      <c r="K7" s="17">
        <v>26</v>
      </c>
      <c r="L7" s="16">
        <v>0</v>
      </c>
      <c r="M7" s="17">
        <v>26</v>
      </c>
      <c r="N7" s="16">
        <v>0</v>
      </c>
      <c r="O7" s="17"/>
      <c r="P7" s="16"/>
      <c r="Q7" s="17"/>
      <c r="R7" s="16"/>
      <c r="S7" s="17"/>
      <c r="T7" s="16"/>
      <c r="U7" s="15"/>
      <c r="V7" s="20"/>
      <c r="W7" s="17">
        <f t="shared" si="0"/>
        <v>78</v>
      </c>
      <c r="X7" s="35">
        <f t="shared" si="0"/>
        <v>0</v>
      </c>
      <c r="Y7" s="1"/>
      <c r="Z7" s="1"/>
      <c r="AA7" s="1"/>
    </row>
    <row r="8" spans="2:27" ht="15" thickBot="1" x14ac:dyDescent="0.35">
      <c r="B8" s="30" t="s">
        <v>37</v>
      </c>
      <c r="C8" s="15"/>
      <c r="D8" s="16"/>
      <c r="E8" s="17"/>
      <c r="F8" s="16"/>
      <c r="G8" s="17"/>
      <c r="H8" s="16"/>
      <c r="I8" s="17"/>
      <c r="J8" s="16"/>
      <c r="K8" s="17"/>
      <c r="L8" s="16"/>
      <c r="M8" s="17"/>
      <c r="N8" s="16"/>
      <c r="O8" s="17">
        <v>26</v>
      </c>
      <c r="P8" s="16">
        <v>0</v>
      </c>
      <c r="Q8" s="17">
        <v>28</v>
      </c>
      <c r="R8" s="16">
        <v>0</v>
      </c>
      <c r="S8" s="17">
        <v>26</v>
      </c>
      <c r="T8" s="16">
        <v>0</v>
      </c>
      <c r="U8" s="15"/>
      <c r="V8" s="20"/>
      <c r="W8" s="17">
        <f t="shared" si="0"/>
        <v>80</v>
      </c>
      <c r="X8" s="35">
        <f t="shared" si="0"/>
        <v>0</v>
      </c>
      <c r="Y8" s="1"/>
      <c r="Z8" s="1"/>
      <c r="AA8" s="1"/>
    </row>
    <row r="9" spans="2:27" ht="15" thickBot="1" x14ac:dyDescent="0.35">
      <c r="B9" s="30" t="s">
        <v>38</v>
      </c>
      <c r="C9" s="15">
        <v>26</v>
      </c>
      <c r="D9" s="16">
        <v>0</v>
      </c>
      <c r="E9" s="17">
        <v>26</v>
      </c>
      <c r="F9" s="16">
        <v>0</v>
      </c>
      <c r="G9" s="17">
        <v>26</v>
      </c>
      <c r="H9" s="16">
        <v>44.38</v>
      </c>
      <c r="I9" s="17"/>
      <c r="J9" s="16"/>
      <c r="K9" s="17"/>
      <c r="L9" s="16"/>
      <c r="M9" s="17"/>
      <c r="N9" s="16"/>
      <c r="O9" s="17"/>
      <c r="P9" s="16"/>
      <c r="Q9" s="17"/>
      <c r="R9" s="16"/>
      <c r="S9" s="17"/>
      <c r="T9" s="16"/>
      <c r="U9" s="15"/>
      <c r="V9" s="20"/>
      <c r="W9" s="17">
        <f t="shared" si="0"/>
        <v>78</v>
      </c>
      <c r="X9" s="35">
        <f t="shared" si="0"/>
        <v>44.38</v>
      </c>
      <c r="Y9" s="1"/>
      <c r="Z9" s="1"/>
      <c r="AA9" s="1"/>
    </row>
    <row r="10" spans="2:27" ht="15" thickBot="1" x14ac:dyDescent="0.35">
      <c r="B10" s="30" t="s">
        <v>39</v>
      </c>
      <c r="C10" s="15"/>
      <c r="D10" s="16"/>
      <c r="E10" s="17"/>
      <c r="F10" s="16"/>
      <c r="G10" s="17"/>
      <c r="H10" s="16"/>
      <c r="I10" s="17">
        <v>26</v>
      </c>
      <c r="J10" s="16">
        <v>0</v>
      </c>
      <c r="K10" s="17">
        <v>26</v>
      </c>
      <c r="L10" s="16">
        <v>0</v>
      </c>
      <c r="M10" s="17">
        <v>26</v>
      </c>
      <c r="N10" s="16">
        <v>0</v>
      </c>
      <c r="O10" s="17"/>
      <c r="P10" s="16"/>
      <c r="Q10" s="17"/>
      <c r="R10" s="16"/>
      <c r="S10" s="17"/>
      <c r="T10" s="16"/>
      <c r="U10" s="15"/>
      <c r="V10" s="20"/>
      <c r="W10" s="17">
        <f t="shared" si="0"/>
        <v>78</v>
      </c>
      <c r="X10" s="35">
        <f t="shared" si="0"/>
        <v>0</v>
      </c>
      <c r="Y10" s="1"/>
      <c r="Z10" s="1"/>
      <c r="AA10" s="1"/>
    </row>
    <row r="11" spans="2:27" ht="15" thickBot="1" x14ac:dyDescent="0.35">
      <c r="B11" s="30" t="s">
        <v>40</v>
      </c>
      <c r="C11" s="15"/>
      <c r="D11" s="16"/>
      <c r="E11" s="17"/>
      <c r="F11" s="16"/>
      <c r="G11" s="17"/>
      <c r="H11" s="16"/>
      <c r="I11" s="17"/>
      <c r="J11" s="16"/>
      <c r="K11" s="17"/>
      <c r="L11" s="16"/>
      <c r="M11" s="17"/>
      <c r="N11" s="16"/>
      <c r="O11" s="17">
        <v>25</v>
      </c>
      <c r="P11" s="16">
        <v>0</v>
      </c>
      <c r="Q11" s="17">
        <v>20</v>
      </c>
      <c r="R11" s="16">
        <v>0</v>
      </c>
      <c r="S11" s="17">
        <v>26</v>
      </c>
      <c r="T11" s="16">
        <v>0</v>
      </c>
      <c r="U11" s="15"/>
      <c r="V11" s="20"/>
      <c r="W11" s="17">
        <f t="shared" si="0"/>
        <v>71</v>
      </c>
      <c r="X11" s="35">
        <f t="shared" si="0"/>
        <v>0</v>
      </c>
      <c r="Y11" s="1"/>
      <c r="Z11" s="1"/>
      <c r="AA11" s="1"/>
    </row>
    <row r="12" spans="2:27" ht="15" thickBot="1" x14ac:dyDescent="0.35">
      <c r="B12" s="30" t="s">
        <v>41</v>
      </c>
      <c r="C12" s="15">
        <v>26</v>
      </c>
      <c r="D12" s="16">
        <v>1122</v>
      </c>
      <c r="E12" s="17">
        <v>32</v>
      </c>
      <c r="F12" s="16">
        <v>0</v>
      </c>
      <c r="G12" s="17">
        <v>26</v>
      </c>
      <c r="H12" s="16">
        <v>0</v>
      </c>
      <c r="I12" s="17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6"/>
      <c r="U12" s="15"/>
      <c r="V12" s="20"/>
      <c r="W12" s="17">
        <f t="shared" si="0"/>
        <v>84</v>
      </c>
      <c r="X12" s="35">
        <f t="shared" si="0"/>
        <v>1122</v>
      </c>
      <c r="Y12" s="1"/>
      <c r="Z12" s="1"/>
      <c r="AA12" s="1"/>
    </row>
    <row r="13" spans="2:27" ht="15" thickBot="1" x14ac:dyDescent="0.35">
      <c r="B13" s="30" t="s">
        <v>42</v>
      </c>
      <c r="C13" s="15"/>
      <c r="D13" s="16"/>
      <c r="E13" s="17"/>
      <c r="F13" s="16"/>
      <c r="G13" s="17"/>
      <c r="H13" s="16"/>
      <c r="I13" s="17">
        <v>26</v>
      </c>
      <c r="J13" s="16">
        <v>0</v>
      </c>
      <c r="K13" s="17">
        <v>26</v>
      </c>
      <c r="L13" s="16">
        <v>70</v>
      </c>
      <c r="M13" s="17">
        <v>26</v>
      </c>
      <c r="N13" s="16">
        <v>0</v>
      </c>
      <c r="O13" s="17"/>
      <c r="P13" s="16"/>
      <c r="Q13" s="17"/>
      <c r="R13" s="16"/>
      <c r="S13" s="17"/>
      <c r="T13" s="16"/>
      <c r="U13" s="15"/>
      <c r="V13" s="20"/>
      <c r="W13" s="17">
        <f t="shared" si="0"/>
        <v>78</v>
      </c>
      <c r="X13" s="35">
        <f t="shared" si="0"/>
        <v>70</v>
      </c>
      <c r="Y13" s="1"/>
      <c r="Z13" s="1"/>
      <c r="AA13" s="1"/>
    </row>
    <row r="14" spans="2:27" ht="15" thickBot="1" x14ac:dyDescent="0.35">
      <c r="B14" s="30" t="s">
        <v>43</v>
      </c>
      <c r="C14" s="15"/>
      <c r="D14" s="16"/>
      <c r="E14" s="17"/>
      <c r="F14" s="16"/>
      <c r="G14" s="17"/>
      <c r="H14" s="16"/>
      <c r="I14" s="17"/>
      <c r="J14" s="16"/>
      <c r="K14" s="17"/>
      <c r="L14" s="16"/>
      <c r="M14" s="17"/>
      <c r="N14" s="16"/>
      <c r="O14" s="17">
        <v>26</v>
      </c>
      <c r="P14" s="16">
        <v>0</v>
      </c>
      <c r="Q14" s="17">
        <v>36</v>
      </c>
      <c r="R14" s="16">
        <v>185</v>
      </c>
      <c r="S14" s="17">
        <v>26</v>
      </c>
      <c r="T14" s="16">
        <v>0</v>
      </c>
      <c r="U14" s="15"/>
      <c r="V14" s="20"/>
      <c r="W14" s="17">
        <f t="shared" si="0"/>
        <v>88</v>
      </c>
      <c r="X14" s="35">
        <f t="shared" si="0"/>
        <v>185</v>
      </c>
      <c r="Y14" s="1"/>
      <c r="Z14" s="1"/>
      <c r="AA14" s="1"/>
    </row>
    <row r="15" spans="2:27" ht="15" thickBot="1" x14ac:dyDescent="0.35">
      <c r="B15" s="30" t="s">
        <v>44</v>
      </c>
      <c r="C15" s="15">
        <v>26</v>
      </c>
      <c r="D15" s="16">
        <v>0</v>
      </c>
      <c r="E15" s="17">
        <v>24</v>
      </c>
      <c r="F15" s="16">
        <v>0</v>
      </c>
      <c r="G15" s="17">
        <v>26</v>
      </c>
      <c r="H15" s="16">
        <f>207+290.25</f>
        <v>497.25</v>
      </c>
      <c r="I15" s="17"/>
      <c r="J15" s="16"/>
      <c r="K15" s="17"/>
      <c r="L15" s="16"/>
      <c r="M15" s="17"/>
      <c r="N15" s="16"/>
      <c r="O15" s="17"/>
      <c r="P15" s="16"/>
      <c r="Q15" s="17"/>
      <c r="R15" s="16"/>
      <c r="S15" s="17"/>
      <c r="T15" s="16"/>
      <c r="U15" s="15"/>
      <c r="V15" s="20"/>
      <c r="W15" s="17">
        <f t="shared" si="0"/>
        <v>76</v>
      </c>
      <c r="X15" s="35">
        <f t="shared" si="0"/>
        <v>497.25</v>
      </c>
      <c r="Y15" s="1"/>
      <c r="Z15" s="1"/>
      <c r="AA15" s="1"/>
    </row>
    <row r="16" spans="2:27" ht="15" thickBot="1" x14ac:dyDescent="0.35">
      <c r="B16" s="30" t="s">
        <v>45</v>
      </c>
      <c r="C16" s="15"/>
      <c r="D16" s="16"/>
      <c r="E16" s="17"/>
      <c r="F16" s="16"/>
      <c r="G16" s="17"/>
      <c r="H16" s="16"/>
      <c r="I16" s="17">
        <v>28</v>
      </c>
      <c r="J16" s="16">
        <v>0</v>
      </c>
      <c r="K16" s="17">
        <v>26</v>
      </c>
      <c r="L16" s="16">
        <v>0</v>
      </c>
      <c r="M16" s="17">
        <v>26</v>
      </c>
      <c r="N16" s="16">
        <v>0</v>
      </c>
      <c r="O16" s="17"/>
      <c r="P16" s="16"/>
      <c r="Q16" s="17"/>
      <c r="R16" s="16"/>
      <c r="S16" s="17"/>
      <c r="T16" s="16"/>
      <c r="U16" s="15"/>
      <c r="V16" s="20"/>
      <c r="W16" s="17">
        <f t="shared" si="0"/>
        <v>80</v>
      </c>
      <c r="X16" s="35">
        <f t="shared" si="0"/>
        <v>0</v>
      </c>
      <c r="Y16" s="1"/>
      <c r="Z16" s="1"/>
      <c r="AA16" s="1"/>
    </row>
    <row r="17" spans="2:27" ht="15" thickBot="1" x14ac:dyDescent="0.35">
      <c r="B17" s="30" t="s">
        <v>46</v>
      </c>
      <c r="C17" s="15"/>
      <c r="D17" s="16"/>
      <c r="E17" s="17"/>
      <c r="F17" s="16"/>
      <c r="G17" s="17"/>
      <c r="H17" s="16"/>
      <c r="I17" s="17"/>
      <c r="J17" s="16"/>
      <c r="K17" s="17"/>
      <c r="L17" s="16"/>
      <c r="M17" s="17"/>
      <c r="N17" s="16"/>
      <c r="O17" s="17">
        <v>25</v>
      </c>
      <c r="P17" s="16">
        <v>0</v>
      </c>
      <c r="Q17" s="17">
        <v>20</v>
      </c>
      <c r="R17" s="16">
        <v>0</v>
      </c>
      <c r="S17" s="17">
        <v>26</v>
      </c>
      <c r="T17" s="16">
        <v>0</v>
      </c>
      <c r="U17" s="15"/>
      <c r="V17" s="20"/>
      <c r="W17" s="17">
        <f t="shared" si="0"/>
        <v>71</v>
      </c>
      <c r="X17" s="35">
        <f t="shared" si="0"/>
        <v>0</v>
      </c>
      <c r="Y17" s="1"/>
      <c r="Z17" s="1"/>
      <c r="AA17" s="1"/>
    </row>
    <row r="18" spans="2:27" ht="15" thickBot="1" x14ac:dyDescent="0.35">
      <c r="B18" s="30" t="s">
        <v>47</v>
      </c>
      <c r="C18" s="15">
        <v>26</v>
      </c>
      <c r="D18" s="16">
        <v>0</v>
      </c>
      <c r="E18" s="17">
        <v>26</v>
      </c>
      <c r="F18" s="16">
        <v>12</v>
      </c>
      <c r="G18" s="17">
        <v>26</v>
      </c>
      <c r="H18" s="16">
        <v>0</v>
      </c>
      <c r="I18" s="17"/>
      <c r="J18" s="16"/>
      <c r="K18" s="17"/>
      <c r="L18" s="16"/>
      <c r="M18" s="17"/>
      <c r="N18" s="16"/>
      <c r="O18" s="17"/>
      <c r="P18" s="16"/>
      <c r="Q18" s="17"/>
      <c r="R18" s="16"/>
      <c r="S18" s="17"/>
      <c r="T18" s="16"/>
      <c r="U18" s="15"/>
      <c r="V18" s="20"/>
      <c r="W18" s="17">
        <f t="shared" si="0"/>
        <v>78</v>
      </c>
      <c r="X18" s="35">
        <f t="shared" si="0"/>
        <v>12</v>
      </c>
      <c r="Y18" s="1"/>
      <c r="Z18" s="1"/>
      <c r="AA18" s="1"/>
    </row>
    <row r="19" spans="2:27" ht="15" thickBot="1" x14ac:dyDescent="0.35">
      <c r="B19" s="30" t="s">
        <v>48</v>
      </c>
      <c r="C19" s="15"/>
      <c r="D19" s="16"/>
      <c r="E19" s="17"/>
      <c r="F19" s="16"/>
      <c r="G19" s="17"/>
      <c r="H19" s="16"/>
      <c r="I19" s="17">
        <v>24</v>
      </c>
      <c r="J19" s="16">
        <v>0</v>
      </c>
      <c r="K19" s="17">
        <v>26</v>
      </c>
      <c r="L19" s="16">
        <v>73</v>
      </c>
      <c r="M19" s="17">
        <v>26</v>
      </c>
      <c r="N19" s="16">
        <v>0</v>
      </c>
      <c r="O19" s="17"/>
      <c r="P19" s="16"/>
      <c r="Q19" s="17"/>
      <c r="R19" s="16"/>
      <c r="S19" s="17"/>
      <c r="T19" s="16"/>
      <c r="U19" s="15"/>
      <c r="V19" s="20"/>
      <c r="W19" s="17">
        <f t="shared" si="0"/>
        <v>76</v>
      </c>
      <c r="X19" s="35">
        <f t="shared" si="0"/>
        <v>73</v>
      </c>
      <c r="Y19" s="1"/>
      <c r="Z19" s="1"/>
      <c r="AA19" s="1"/>
    </row>
    <row r="20" spans="2:27" ht="15" thickBot="1" x14ac:dyDescent="0.35">
      <c r="B20" s="30" t="s">
        <v>49</v>
      </c>
      <c r="C20" s="15"/>
      <c r="D20" s="16"/>
      <c r="E20" s="17"/>
      <c r="F20" s="16"/>
      <c r="G20" s="17"/>
      <c r="H20" s="16"/>
      <c r="I20" s="17"/>
      <c r="J20" s="16"/>
      <c r="K20" s="17"/>
      <c r="L20" s="16"/>
      <c r="M20" s="17"/>
      <c r="N20" s="16"/>
      <c r="O20" s="17">
        <v>26</v>
      </c>
      <c r="P20" s="16">
        <v>0</v>
      </c>
      <c r="Q20" s="17">
        <v>26</v>
      </c>
      <c r="R20" s="16">
        <v>0</v>
      </c>
      <c r="S20" s="17">
        <v>24</v>
      </c>
      <c r="T20" s="16">
        <v>0</v>
      </c>
      <c r="U20" s="15"/>
      <c r="V20" s="20"/>
      <c r="W20" s="17">
        <f t="shared" si="0"/>
        <v>76</v>
      </c>
      <c r="X20" s="16">
        <f t="shared" si="0"/>
        <v>0</v>
      </c>
      <c r="Y20" s="1"/>
      <c r="Z20" s="1"/>
      <c r="AA20" s="1"/>
    </row>
    <row r="21" spans="2:27" ht="15" thickBot="1" x14ac:dyDescent="0.35">
      <c r="B21" s="30" t="s">
        <v>50</v>
      </c>
      <c r="C21" s="15">
        <v>26</v>
      </c>
      <c r="D21" s="16">
        <v>0</v>
      </c>
      <c r="E21" s="17">
        <v>34</v>
      </c>
      <c r="F21" s="16">
        <v>0</v>
      </c>
      <c r="G21" s="17">
        <v>23.5</v>
      </c>
      <c r="H21" s="16">
        <v>0</v>
      </c>
      <c r="I21" s="17"/>
      <c r="J21" s="16"/>
      <c r="K21" s="17"/>
      <c r="L21" s="16"/>
      <c r="M21" s="17"/>
      <c r="N21" s="16"/>
      <c r="O21" s="17"/>
      <c r="P21" s="16"/>
      <c r="Q21" s="17"/>
      <c r="R21" s="16"/>
      <c r="S21" s="17"/>
      <c r="T21" s="16"/>
      <c r="U21" s="15"/>
      <c r="V21" s="20"/>
      <c r="W21" s="17">
        <f t="shared" si="0"/>
        <v>83.5</v>
      </c>
      <c r="X21" s="16">
        <f t="shared" si="0"/>
        <v>0</v>
      </c>
      <c r="Y21" s="1"/>
      <c r="Z21" s="1"/>
      <c r="AA21" s="1"/>
    </row>
    <row r="22" spans="2:27" ht="15" thickBot="1" x14ac:dyDescent="0.35">
      <c r="B22" s="30" t="s">
        <v>59</v>
      </c>
      <c r="C22" s="15"/>
      <c r="D22" s="16"/>
      <c r="E22" s="17"/>
      <c r="F22" s="16"/>
      <c r="G22" s="17"/>
      <c r="H22" s="16"/>
      <c r="I22" s="17">
        <v>26</v>
      </c>
      <c r="J22" s="16">
        <v>101.5</v>
      </c>
      <c r="K22" s="17">
        <v>27.5</v>
      </c>
      <c r="L22" s="16">
        <v>0</v>
      </c>
      <c r="M22" s="17">
        <v>26</v>
      </c>
      <c r="N22" s="16">
        <v>0</v>
      </c>
      <c r="O22" s="17"/>
      <c r="P22" s="16"/>
      <c r="Q22" s="17"/>
      <c r="R22" s="16"/>
      <c r="S22" s="17"/>
      <c r="T22" s="16"/>
      <c r="U22" s="15"/>
      <c r="V22" s="20"/>
      <c r="W22" s="17">
        <f t="shared" si="0"/>
        <v>79.5</v>
      </c>
      <c r="X22" s="16">
        <f t="shared" si="0"/>
        <v>101.5</v>
      </c>
      <c r="Y22" s="1"/>
      <c r="Z22" s="1"/>
      <c r="AA22" s="1"/>
    </row>
    <row r="23" spans="2:27" ht="15" thickBot="1" x14ac:dyDescent="0.35">
      <c r="B23" s="30" t="s">
        <v>60</v>
      </c>
      <c r="C23" s="15"/>
      <c r="D23" s="16"/>
      <c r="E23" s="17"/>
      <c r="F23" s="16"/>
      <c r="G23" s="17"/>
      <c r="H23" s="16"/>
      <c r="I23" s="17"/>
      <c r="J23" s="16"/>
      <c r="K23" s="17"/>
      <c r="L23" s="16"/>
      <c r="M23" s="17"/>
      <c r="N23" s="16"/>
      <c r="O23" s="17">
        <v>26</v>
      </c>
      <c r="P23" s="16">
        <v>0</v>
      </c>
      <c r="Q23" s="17">
        <v>26</v>
      </c>
      <c r="R23" s="16">
        <v>0</v>
      </c>
      <c r="S23" s="17">
        <v>36</v>
      </c>
      <c r="T23" s="16">
        <v>0</v>
      </c>
      <c r="U23" s="15"/>
      <c r="V23" s="20"/>
      <c r="W23" s="17">
        <f t="shared" si="0"/>
        <v>88</v>
      </c>
      <c r="X23" s="16">
        <f t="shared" si="0"/>
        <v>0</v>
      </c>
      <c r="Y23" s="1"/>
      <c r="Z23" s="1"/>
      <c r="AA23" s="1"/>
    </row>
    <row r="24" spans="2:27" ht="15" thickBot="1" x14ac:dyDescent="0.35">
      <c r="B24" s="30" t="s">
        <v>61</v>
      </c>
      <c r="C24" s="15">
        <v>26</v>
      </c>
      <c r="D24" s="16">
        <v>0</v>
      </c>
      <c r="E24" s="17">
        <v>26</v>
      </c>
      <c r="F24" s="16">
        <v>0</v>
      </c>
      <c r="G24" s="17">
        <v>16</v>
      </c>
      <c r="H24" s="16">
        <v>0</v>
      </c>
      <c r="I24" s="17"/>
      <c r="J24" s="16"/>
      <c r="K24" s="17"/>
      <c r="L24" s="16"/>
      <c r="M24" s="17"/>
      <c r="N24" s="16"/>
      <c r="O24" s="17"/>
      <c r="P24" s="16"/>
      <c r="Q24" s="17"/>
      <c r="R24" s="16"/>
      <c r="S24" s="17"/>
      <c r="T24" s="16"/>
      <c r="U24" s="15"/>
      <c r="V24" s="20"/>
      <c r="W24" s="17">
        <f t="shared" si="0"/>
        <v>68</v>
      </c>
      <c r="X24" s="16">
        <f t="shared" si="0"/>
        <v>0</v>
      </c>
      <c r="Y24" s="1"/>
      <c r="Z24" s="1"/>
      <c r="AA24" s="1"/>
    </row>
    <row r="25" spans="2:27" ht="15" thickBot="1" x14ac:dyDescent="0.35">
      <c r="B25" s="30" t="s">
        <v>62</v>
      </c>
      <c r="C25" s="15"/>
      <c r="D25" s="16"/>
      <c r="E25" s="17"/>
      <c r="F25" s="16"/>
      <c r="G25" s="17"/>
      <c r="H25" s="16"/>
      <c r="I25" s="17">
        <v>26</v>
      </c>
      <c r="J25" s="16">
        <f>46.46+246.99</f>
        <v>293.45</v>
      </c>
      <c r="K25" s="17">
        <v>26</v>
      </c>
      <c r="L25" s="16">
        <v>0</v>
      </c>
      <c r="M25" s="17">
        <v>26</v>
      </c>
      <c r="N25" s="16">
        <v>0</v>
      </c>
      <c r="O25" s="17"/>
      <c r="P25" s="16"/>
      <c r="Q25" s="17"/>
      <c r="R25" s="16"/>
      <c r="S25" s="17"/>
      <c r="T25" s="16"/>
      <c r="U25" s="15"/>
      <c r="V25" s="20"/>
      <c r="W25" s="17">
        <f t="shared" ref="W25" si="1">U25+S25+Q25+O25+M25+K25+I25+G25+E25+C25</f>
        <v>78</v>
      </c>
      <c r="X25" s="16">
        <f t="shared" ref="X25" si="2">V25+T25+R25+P25+N25+L25+J25+H25+F25+D25</f>
        <v>293.45</v>
      </c>
      <c r="Y25" s="1"/>
      <c r="Z25" s="1"/>
      <c r="AA25" s="1"/>
    </row>
    <row r="26" spans="2:27" ht="15" thickBot="1" x14ac:dyDescent="0.35">
      <c r="B26" s="30" t="s">
        <v>63</v>
      </c>
      <c r="C26" s="15"/>
      <c r="D26" s="16"/>
      <c r="E26" s="17"/>
      <c r="F26" s="16"/>
      <c r="G26" s="17"/>
      <c r="H26" s="16"/>
      <c r="I26" s="17"/>
      <c r="J26" s="16"/>
      <c r="K26" s="17"/>
      <c r="L26" s="16"/>
      <c r="M26" s="17"/>
      <c r="N26" s="16"/>
      <c r="O26" s="17">
        <f>24.74+1.5</f>
        <v>26.24</v>
      </c>
      <c r="P26" s="16">
        <v>0.64</v>
      </c>
      <c r="Q26" s="17">
        <v>26</v>
      </c>
      <c r="R26" s="16">
        <v>0</v>
      </c>
      <c r="S26" s="17">
        <v>27</v>
      </c>
      <c r="T26" s="16">
        <v>0</v>
      </c>
      <c r="U26" s="15"/>
      <c r="V26" s="20"/>
      <c r="W26" s="17">
        <f t="shared" si="0"/>
        <v>79.239999999999995</v>
      </c>
      <c r="X26" s="16">
        <f t="shared" si="0"/>
        <v>0.64</v>
      </c>
      <c r="Y26" s="1"/>
      <c r="Z26" s="1"/>
      <c r="AA26" s="1"/>
    </row>
    <row r="27" spans="2:27" ht="15" thickBot="1" x14ac:dyDescent="0.35">
      <c r="B27" s="11" t="s">
        <v>55</v>
      </c>
      <c r="C27" s="18">
        <f t="shared" ref="C27:X27" si="3">SUM(C4:C26)</f>
        <v>198</v>
      </c>
      <c r="D27" s="18">
        <f t="shared" si="3"/>
        <v>1122</v>
      </c>
      <c r="E27" s="18">
        <f t="shared" si="3"/>
        <v>208</v>
      </c>
      <c r="F27" s="18">
        <f t="shared" si="3"/>
        <v>12</v>
      </c>
      <c r="G27" s="18">
        <f t="shared" si="3"/>
        <v>185.5</v>
      </c>
      <c r="H27" s="18">
        <f t="shared" si="3"/>
        <v>590.98</v>
      </c>
      <c r="I27" s="18">
        <f t="shared" si="3"/>
        <v>198</v>
      </c>
      <c r="J27" s="18">
        <f t="shared" si="3"/>
        <v>394.95</v>
      </c>
      <c r="K27" s="18">
        <f t="shared" si="3"/>
        <v>199.5</v>
      </c>
      <c r="L27" s="18">
        <f t="shared" si="3"/>
        <v>186.63</v>
      </c>
      <c r="M27" s="18">
        <f t="shared" si="3"/>
        <v>198</v>
      </c>
      <c r="N27" s="18">
        <f t="shared" si="3"/>
        <v>0</v>
      </c>
      <c r="O27" s="18">
        <f t="shared" si="3"/>
        <v>196.24</v>
      </c>
      <c r="P27" s="18">
        <f t="shared" si="3"/>
        <v>0.64</v>
      </c>
      <c r="Q27" s="18">
        <f t="shared" si="3"/>
        <v>198</v>
      </c>
      <c r="R27" s="18">
        <f t="shared" si="3"/>
        <v>185</v>
      </c>
      <c r="S27" s="18">
        <f t="shared" si="3"/>
        <v>207</v>
      </c>
      <c r="T27" s="18">
        <f t="shared" si="3"/>
        <v>0</v>
      </c>
      <c r="U27" s="18">
        <f t="shared" si="3"/>
        <v>0</v>
      </c>
      <c r="V27" s="21">
        <f t="shared" si="3"/>
        <v>0</v>
      </c>
      <c r="W27" s="29">
        <f t="shared" si="3"/>
        <v>1788.24</v>
      </c>
      <c r="X27" s="18">
        <f t="shared" si="3"/>
        <v>2492.1999999999998</v>
      </c>
    </row>
    <row r="28" spans="2:27" x14ac:dyDescent="0.3">
      <c r="D28" s="34">
        <f>(D27-C27)/C27</f>
        <v>4.666666666666667</v>
      </c>
      <c r="F28" s="34">
        <f>(F27-E27)/E27</f>
        <v>-0.94230769230769229</v>
      </c>
      <c r="H28" s="34">
        <f>(H27-G27)/G27</f>
        <v>2.185876010781671</v>
      </c>
      <c r="J28" s="34">
        <f>(J27-I27)/I27</f>
        <v>0.99469696969696964</v>
      </c>
      <c r="L28" s="28">
        <f>(L27-K27)/K27</f>
        <v>-6.4511278195488742E-2</v>
      </c>
      <c r="N28" s="28">
        <f>(N27-M27)/M27</f>
        <v>-1</v>
      </c>
      <c r="P28" s="28">
        <f>(P27-O27)/O27</f>
        <v>-0.99673868732164705</v>
      </c>
      <c r="R28" s="28">
        <f>(R27-Q27)/Q27</f>
        <v>-6.5656565656565663E-2</v>
      </c>
      <c r="T28" s="28">
        <f>(T27-S27)/S27</f>
        <v>-1</v>
      </c>
    </row>
    <row r="29" spans="2:27" x14ac:dyDescent="0.3">
      <c r="F29" s="70" t="s">
        <v>56</v>
      </c>
      <c r="G29" s="71"/>
      <c r="H29" s="72"/>
      <c r="I29" s="68">
        <f>C27+E27+G27+I27+K27+M27+O27+Q27+S27+U27</f>
        <v>1788.24</v>
      </c>
      <c r="J29" s="69"/>
    </row>
    <row r="30" spans="2:27" x14ac:dyDescent="0.3">
      <c r="G30" s="75" t="s">
        <v>57</v>
      </c>
      <c r="H30" s="75"/>
      <c r="I30" s="68">
        <f>+D27+F27+H27+J27+L27+N27+P27+R27+T27+V27</f>
        <v>2492.1999999999998</v>
      </c>
      <c r="J30" s="69"/>
    </row>
    <row r="31" spans="2:27" x14ac:dyDescent="0.3">
      <c r="I31" s="68">
        <f>I30-I29</f>
        <v>703.95999999999981</v>
      </c>
      <c r="J31" s="69"/>
    </row>
    <row r="32" spans="2:27" x14ac:dyDescent="0.3">
      <c r="C32" s="36">
        <f>C27+E27+G27</f>
        <v>591.5</v>
      </c>
      <c r="D32" s="36">
        <f>D27+F27+H27</f>
        <v>1724.98</v>
      </c>
      <c r="E32" s="37">
        <f>D32-C32</f>
        <v>1133.48</v>
      </c>
      <c r="I32" s="38">
        <f>I27+K27+M27</f>
        <v>595.5</v>
      </c>
      <c r="J32" s="38">
        <f>J27+L27+N27</f>
        <v>581.57999999999993</v>
      </c>
      <c r="K32" s="39">
        <f>J32-I32</f>
        <v>-13.920000000000073</v>
      </c>
      <c r="O32" s="40">
        <f>O27+Q27+S27</f>
        <v>601.24</v>
      </c>
      <c r="P32" s="40">
        <f>P27+R27+T27</f>
        <v>185.64</v>
      </c>
      <c r="Q32" s="41">
        <f>P32-O32</f>
        <v>-415.6</v>
      </c>
    </row>
    <row r="33" spans="3:16" x14ac:dyDescent="0.3">
      <c r="G33" t="s">
        <v>58</v>
      </c>
      <c r="I33">
        <f>400+100+100</f>
        <v>600</v>
      </c>
    </row>
    <row r="34" spans="3:16" x14ac:dyDescent="0.3">
      <c r="G34" s="42" t="s">
        <v>64</v>
      </c>
      <c r="H34" s="42"/>
      <c r="I34" s="76">
        <f>I33+I31</f>
        <v>1303.9599999999998</v>
      </c>
      <c r="J34" s="76"/>
      <c r="M34" s="33"/>
    </row>
    <row r="38" spans="3:16" x14ac:dyDescent="0.3">
      <c r="C38" s="1">
        <f>C27+E27+G27</f>
        <v>591.5</v>
      </c>
      <c r="D38" s="1">
        <f>D27+F27+H27</f>
        <v>1724.98</v>
      </c>
      <c r="I38" s="1">
        <f>I27+K27+M27</f>
        <v>595.5</v>
      </c>
      <c r="J38" s="1">
        <f>J27+L27+N27</f>
        <v>581.57999999999993</v>
      </c>
      <c r="O38" s="1">
        <f>O27+Q27+S27</f>
        <v>601.24</v>
      </c>
      <c r="P38" s="1">
        <f>P27+R27+T27</f>
        <v>185.64</v>
      </c>
    </row>
    <row r="39" spans="3:16" x14ac:dyDescent="0.3">
      <c r="D39" s="1">
        <f>D38-C38</f>
        <v>1133.48</v>
      </c>
      <c r="J39" s="33">
        <f>J38-I38</f>
        <v>-13.920000000000073</v>
      </c>
      <c r="P39" s="33">
        <f>P38-O38</f>
        <v>-415.6</v>
      </c>
    </row>
  </sheetData>
  <mergeCells count="17">
    <mergeCell ref="C2:D2"/>
    <mergeCell ref="E2:F2"/>
    <mergeCell ref="G2:H2"/>
    <mergeCell ref="I2:J2"/>
    <mergeCell ref="K2:L2"/>
    <mergeCell ref="Q2:R2"/>
    <mergeCell ref="S2:T2"/>
    <mergeCell ref="U2:V2"/>
    <mergeCell ref="W2:X2"/>
    <mergeCell ref="F29:H29"/>
    <mergeCell ref="I29:J29"/>
    <mergeCell ref="M2:N2"/>
    <mergeCell ref="G30:H30"/>
    <mergeCell ref="I30:J30"/>
    <mergeCell ref="I31:J31"/>
    <mergeCell ref="I34:J34"/>
    <mergeCell ref="O2:P2"/>
  </mergeCells>
  <phoneticPr fontId="5" type="noConversion"/>
  <pageMargins left="0.25" right="0.25" top="0.75" bottom="0.75" header="0.3" footer="0.3"/>
  <pageSetup paperSize="9" scale="8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8DFB-74A7-4E7F-B2E6-76B771646EE6}">
  <sheetPr>
    <pageSetUpPr fitToPage="1"/>
  </sheetPr>
  <dimension ref="B1:AH41"/>
  <sheetViews>
    <sheetView topLeftCell="A17" workbookViewId="0">
      <selection activeCell="AE7" sqref="AE7"/>
    </sheetView>
  </sheetViews>
  <sheetFormatPr defaultRowHeight="14.4" x14ac:dyDescent="0.3"/>
  <cols>
    <col min="1" max="1" width="1.6640625" customWidth="1"/>
    <col min="2" max="2" width="5.6640625" customWidth="1"/>
    <col min="3" max="3" width="7.88671875" customWidth="1"/>
    <col min="4" max="4" width="9.109375" customWidth="1"/>
    <col min="5" max="23" width="7.88671875" customWidth="1"/>
    <col min="24" max="24" width="8.88671875" bestFit="1" customWidth="1"/>
    <col min="25" max="25" width="9.44140625" customWidth="1"/>
    <col min="26" max="26" width="9.6640625" customWidth="1"/>
    <col min="34" max="34" width="11" bestFit="1" customWidth="1"/>
  </cols>
  <sheetData>
    <row r="1" spans="2:34" ht="7.5" customHeight="1" thickBot="1" x14ac:dyDescent="0.35"/>
    <row r="2" spans="2:34" ht="18.600000000000001" thickBot="1" x14ac:dyDescent="0.4">
      <c r="C2" s="67" t="s">
        <v>23</v>
      </c>
      <c r="D2" s="67"/>
      <c r="E2" s="67" t="s">
        <v>20</v>
      </c>
      <c r="F2" s="67"/>
      <c r="G2" s="67" t="s">
        <v>19</v>
      </c>
      <c r="H2" s="67"/>
      <c r="I2" s="67" t="s">
        <v>21</v>
      </c>
      <c r="J2" s="67"/>
      <c r="K2" s="67" t="s">
        <v>22</v>
      </c>
      <c r="L2" s="67"/>
      <c r="M2" s="67" t="s">
        <v>26</v>
      </c>
      <c r="N2" s="67"/>
      <c r="O2" s="67" t="s">
        <v>24</v>
      </c>
      <c r="P2" s="67"/>
      <c r="Q2" s="67" t="s">
        <v>25</v>
      </c>
      <c r="R2" s="67"/>
      <c r="S2" s="67" t="s">
        <v>18</v>
      </c>
      <c r="T2" s="67"/>
      <c r="U2" s="67" t="s">
        <v>65</v>
      </c>
      <c r="V2" s="74"/>
      <c r="W2" s="67" t="s">
        <v>66</v>
      </c>
      <c r="X2" s="74"/>
      <c r="Y2" s="73" t="s">
        <v>28</v>
      </c>
      <c r="Z2" s="67"/>
    </row>
    <row r="3" spans="2:34" ht="15" thickBot="1" x14ac:dyDescent="0.35">
      <c r="B3" s="32" t="s">
        <v>29</v>
      </c>
      <c r="C3" s="24" t="s">
        <v>30</v>
      </c>
      <c r="D3" s="25" t="s">
        <v>31</v>
      </c>
      <c r="E3" s="24" t="s">
        <v>30</v>
      </c>
      <c r="F3" s="25" t="s">
        <v>31</v>
      </c>
      <c r="G3" s="24" t="s">
        <v>30</v>
      </c>
      <c r="H3" s="25" t="s">
        <v>31</v>
      </c>
      <c r="I3" s="24" t="s">
        <v>30</v>
      </c>
      <c r="J3" s="25" t="s">
        <v>31</v>
      </c>
      <c r="K3" s="24" t="s">
        <v>30</v>
      </c>
      <c r="L3" s="25" t="s">
        <v>31</v>
      </c>
      <c r="M3" s="24" t="s">
        <v>30</v>
      </c>
      <c r="N3" s="25" t="s">
        <v>31</v>
      </c>
      <c r="O3" s="24" t="s">
        <v>30</v>
      </c>
      <c r="P3" s="25" t="s">
        <v>31</v>
      </c>
      <c r="Q3" s="24" t="s">
        <v>30</v>
      </c>
      <c r="R3" s="25" t="s">
        <v>31</v>
      </c>
      <c r="S3" s="24" t="s">
        <v>30</v>
      </c>
      <c r="T3" s="25" t="s">
        <v>31</v>
      </c>
      <c r="U3" s="24" t="s">
        <v>30</v>
      </c>
      <c r="V3" s="26" t="s">
        <v>31</v>
      </c>
      <c r="W3" s="24" t="s">
        <v>30</v>
      </c>
      <c r="X3" s="26" t="s">
        <v>31</v>
      </c>
      <c r="Y3" s="27" t="s">
        <v>30</v>
      </c>
      <c r="Z3" s="25" t="s">
        <v>31</v>
      </c>
    </row>
    <row r="4" spans="2:34" ht="15" thickBot="1" x14ac:dyDescent="0.35">
      <c r="B4" s="30" t="s">
        <v>32</v>
      </c>
      <c r="C4" s="12">
        <v>10</v>
      </c>
      <c r="D4" s="13">
        <v>0</v>
      </c>
      <c r="E4" s="14">
        <v>10</v>
      </c>
      <c r="F4" s="13">
        <v>0</v>
      </c>
      <c r="G4" s="14">
        <v>10</v>
      </c>
      <c r="H4" s="13">
        <v>0</v>
      </c>
      <c r="I4" s="14">
        <v>10</v>
      </c>
      <c r="J4" s="13">
        <v>0</v>
      </c>
      <c r="K4" s="14">
        <v>10</v>
      </c>
      <c r="L4" s="13">
        <v>0</v>
      </c>
      <c r="M4" s="14">
        <v>10</v>
      </c>
      <c r="N4" s="13">
        <v>0</v>
      </c>
      <c r="O4" s="14">
        <v>10</v>
      </c>
      <c r="P4" s="13">
        <v>0</v>
      </c>
      <c r="Q4" s="14">
        <v>10</v>
      </c>
      <c r="R4" s="13">
        <v>0</v>
      </c>
      <c r="S4" s="14">
        <v>10</v>
      </c>
      <c r="T4" s="13">
        <v>0</v>
      </c>
      <c r="U4" s="12"/>
      <c r="V4" s="19"/>
      <c r="W4" s="12"/>
      <c r="X4" s="19"/>
      <c r="Y4" s="14">
        <f t="shared" ref="Y4:Y25" si="0">U4+S4+Q4+O4+M4+K4+I4+G4+E4+C4</f>
        <v>90</v>
      </c>
      <c r="Z4" s="46">
        <f t="shared" ref="Z4:Z25" si="1">V4+T4+R4+P4+N4+L4+J4+H4+F4+D4</f>
        <v>0</v>
      </c>
      <c r="AA4" s="1">
        <f>Y4</f>
        <v>90</v>
      </c>
      <c r="AB4" s="1">
        <f>Z4</f>
        <v>0</v>
      </c>
      <c r="AC4" s="1">
        <f>AB4-AA4</f>
        <v>-90</v>
      </c>
      <c r="AD4" s="1"/>
    </row>
    <row r="5" spans="2:34" ht="15" thickBot="1" x14ac:dyDescent="0.35">
      <c r="B5" s="30" t="s">
        <v>34</v>
      </c>
      <c r="C5" s="15">
        <v>25</v>
      </c>
      <c r="D5" s="16">
        <v>0</v>
      </c>
      <c r="E5" s="17">
        <v>25</v>
      </c>
      <c r="F5" s="16">
        <v>0</v>
      </c>
      <c r="G5" s="17">
        <v>25</v>
      </c>
      <c r="H5" s="16">
        <v>0</v>
      </c>
      <c r="I5" s="17"/>
      <c r="J5" s="16"/>
      <c r="K5" s="17"/>
      <c r="L5" s="16"/>
      <c r="M5" s="17"/>
      <c r="N5" s="16"/>
      <c r="O5" s="17"/>
      <c r="P5" s="16"/>
      <c r="Q5" s="17"/>
      <c r="R5" s="16"/>
      <c r="S5" s="17"/>
      <c r="T5" s="16"/>
      <c r="U5" s="15"/>
      <c r="V5" s="20"/>
      <c r="W5" s="15"/>
      <c r="X5" s="20"/>
      <c r="Y5" s="17">
        <f t="shared" si="0"/>
        <v>75</v>
      </c>
      <c r="Z5" s="23">
        <f t="shared" si="1"/>
        <v>0</v>
      </c>
      <c r="AA5" s="1">
        <f>AA4+Y5</f>
        <v>165</v>
      </c>
      <c r="AB5" s="1">
        <f>AB4+Z5</f>
        <v>0</v>
      </c>
      <c r="AC5" s="1">
        <f t="shared" ref="AC5:AC28" si="2">AB5-AA5</f>
        <v>-165</v>
      </c>
      <c r="AD5" s="1"/>
    </row>
    <row r="6" spans="2:34" ht="15" thickBot="1" x14ac:dyDescent="0.35">
      <c r="B6" s="30" t="s">
        <v>35</v>
      </c>
      <c r="C6" s="15"/>
      <c r="D6" s="16"/>
      <c r="E6" s="17"/>
      <c r="F6" s="16"/>
      <c r="G6" s="17"/>
      <c r="H6" s="16"/>
      <c r="I6" s="17">
        <v>25</v>
      </c>
      <c r="J6" s="16">
        <v>0</v>
      </c>
      <c r="K6" s="17">
        <v>25</v>
      </c>
      <c r="L6" s="16">
        <v>0</v>
      </c>
      <c r="M6" s="17">
        <v>25</v>
      </c>
      <c r="N6" s="16">
        <v>0</v>
      </c>
      <c r="O6" s="17"/>
      <c r="P6" s="16"/>
      <c r="Q6" s="17"/>
      <c r="R6" s="16"/>
      <c r="S6" s="17"/>
      <c r="T6" s="16"/>
      <c r="U6" s="15"/>
      <c r="V6" s="20"/>
      <c r="W6" s="15"/>
      <c r="X6" s="20"/>
      <c r="Y6" s="17">
        <f t="shared" si="0"/>
        <v>75</v>
      </c>
      <c r="Z6" s="23">
        <f t="shared" si="1"/>
        <v>0</v>
      </c>
      <c r="AA6" s="1">
        <f t="shared" ref="AA6:AB21" si="3">AA5+Y6</f>
        <v>240</v>
      </c>
      <c r="AB6" s="1">
        <f t="shared" si="3"/>
        <v>0</v>
      </c>
      <c r="AC6" s="1">
        <f t="shared" si="2"/>
        <v>-240</v>
      </c>
      <c r="AD6" s="1"/>
      <c r="AE6" s="43" t="s">
        <v>67</v>
      </c>
      <c r="AF6" s="43" t="s">
        <v>68</v>
      </c>
      <c r="AG6" s="43" t="s">
        <v>69</v>
      </c>
      <c r="AH6" s="43" t="s">
        <v>70</v>
      </c>
    </row>
    <row r="7" spans="2:34" ht="15" thickBot="1" x14ac:dyDescent="0.35">
      <c r="B7" s="30" t="s">
        <v>36</v>
      </c>
      <c r="C7" s="15"/>
      <c r="D7" s="16"/>
      <c r="E7" s="17"/>
      <c r="F7" s="16"/>
      <c r="G7" s="17"/>
      <c r="H7" s="16"/>
      <c r="I7" s="17"/>
      <c r="J7" s="16"/>
      <c r="K7" s="17"/>
      <c r="L7" s="16"/>
      <c r="M7" s="17"/>
      <c r="N7" s="16"/>
      <c r="O7" s="17">
        <v>25</v>
      </c>
      <c r="P7" s="16">
        <v>0</v>
      </c>
      <c r="Q7" s="17">
        <v>25</v>
      </c>
      <c r="R7" s="16">
        <v>71.540000000000006</v>
      </c>
      <c r="S7" s="17">
        <v>25</v>
      </c>
      <c r="T7" s="16">
        <v>0</v>
      </c>
      <c r="U7" s="15"/>
      <c r="V7" s="20"/>
      <c r="W7" s="15"/>
      <c r="X7" s="20"/>
      <c r="Y7" s="17">
        <f t="shared" si="0"/>
        <v>75</v>
      </c>
      <c r="Z7" s="35">
        <f t="shared" si="1"/>
        <v>71.540000000000006</v>
      </c>
      <c r="AA7" s="1">
        <f t="shared" si="3"/>
        <v>315</v>
      </c>
      <c r="AB7" s="1">
        <f t="shared" si="3"/>
        <v>71.540000000000006</v>
      </c>
      <c r="AC7" s="1">
        <f t="shared" si="2"/>
        <v>-243.45999999999998</v>
      </c>
      <c r="AD7" s="44" t="s">
        <v>71</v>
      </c>
      <c r="AE7" s="44">
        <f>+C29+'Punters 2021'!Q27+'Punters 2020'!M27+'Punters club'!J6</f>
        <v>788</v>
      </c>
      <c r="AF7" s="44">
        <f>+D29+'Punters 2021'!R27+'Punters 2020'!N27+'Punters club'!K6</f>
        <v>534</v>
      </c>
      <c r="AG7" s="44">
        <f>+AF7-AE7</f>
        <v>-254</v>
      </c>
      <c r="AH7" s="45">
        <f>(AF7-AE7)/AE7</f>
        <v>-0.32233502538071068</v>
      </c>
    </row>
    <row r="8" spans="2:34" ht="15" thickBot="1" x14ac:dyDescent="0.35">
      <c r="B8" s="30" t="s">
        <v>37</v>
      </c>
      <c r="C8" s="15">
        <v>25</v>
      </c>
      <c r="D8" s="16">
        <v>0</v>
      </c>
      <c r="E8" s="17">
        <v>25</v>
      </c>
      <c r="F8" s="16">
        <v>0</v>
      </c>
      <c r="G8" s="17">
        <v>25</v>
      </c>
      <c r="H8" s="16">
        <v>0</v>
      </c>
      <c r="I8" s="17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5"/>
      <c r="V8" s="20"/>
      <c r="W8" s="15"/>
      <c r="X8" s="20"/>
      <c r="Y8" s="17">
        <f t="shared" si="0"/>
        <v>75</v>
      </c>
      <c r="Z8" s="23">
        <f t="shared" si="1"/>
        <v>0</v>
      </c>
      <c r="AA8" s="1">
        <f t="shared" si="3"/>
        <v>390</v>
      </c>
      <c r="AB8" s="1">
        <f t="shared" si="3"/>
        <v>71.540000000000006</v>
      </c>
      <c r="AC8" s="1">
        <f t="shared" si="2"/>
        <v>-318.45999999999998</v>
      </c>
      <c r="AD8" s="44" t="s">
        <v>72</v>
      </c>
      <c r="AE8" s="44">
        <f>+E29+'Punters 2021'!I27+'Punters 2020'!G27+'Punters club'!J7</f>
        <v>923</v>
      </c>
      <c r="AF8" s="44">
        <f>+F29+'Punters 2021'!J27+'Punters 2020'!H27+'Punters club'!K7</f>
        <v>1019.77</v>
      </c>
      <c r="AG8" s="44">
        <f t="shared" ref="AG8:AG15" si="4">+AF8-AE8</f>
        <v>96.769999999999982</v>
      </c>
      <c r="AH8" s="45">
        <f t="shared" ref="AH8:AH15" si="5">(AF8-AE8)/AE8</f>
        <v>0.10484290357529792</v>
      </c>
    </row>
    <row r="9" spans="2:34" ht="15" thickBot="1" x14ac:dyDescent="0.35">
      <c r="B9" s="30" t="s">
        <v>38</v>
      </c>
      <c r="C9" s="15"/>
      <c r="D9" s="16"/>
      <c r="E9" s="17"/>
      <c r="F9" s="16"/>
      <c r="G9" s="17"/>
      <c r="H9" s="16"/>
      <c r="I9" s="17">
        <v>25</v>
      </c>
      <c r="J9" s="16">
        <v>0</v>
      </c>
      <c r="K9" s="17">
        <v>25</v>
      </c>
      <c r="L9" s="16">
        <v>0</v>
      </c>
      <c r="M9" s="17">
        <v>25</v>
      </c>
      <c r="N9" s="16">
        <v>0</v>
      </c>
      <c r="O9" s="17"/>
      <c r="P9" s="16"/>
      <c r="Q9" s="17"/>
      <c r="R9" s="16"/>
      <c r="S9" s="17"/>
      <c r="T9" s="16"/>
      <c r="U9" s="15"/>
      <c r="V9" s="20"/>
      <c r="W9" s="15"/>
      <c r="X9" s="20"/>
      <c r="Y9" s="17">
        <f t="shared" si="0"/>
        <v>75</v>
      </c>
      <c r="Z9" s="23">
        <f t="shared" si="1"/>
        <v>0</v>
      </c>
      <c r="AA9" s="1">
        <f t="shared" si="3"/>
        <v>465</v>
      </c>
      <c r="AB9" s="1">
        <f t="shared" si="3"/>
        <v>71.540000000000006</v>
      </c>
      <c r="AC9" s="1">
        <f t="shared" si="2"/>
        <v>-393.46</v>
      </c>
      <c r="AD9" s="44" t="s">
        <v>73</v>
      </c>
      <c r="AE9" s="44">
        <f>+G29+'Punters 2021'!K27+'Punters 2020'!E27+'Punters club'!J11</f>
        <v>896.48</v>
      </c>
      <c r="AF9" s="44">
        <f>+H29+'Punters 2021'!L27+'Punters 2020'!F27+'Punters club'!K11</f>
        <v>961.40000000000009</v>
      </c>
      <c r="AG9" s="44">
        <f t="shared" si="4"/>
        <v>64.920000000000073</v>
      </c>
      <c r="AH9" s="45">
        <f t="shared" si="5"/>
        <v>7.2416562555773778E-2</v>
      </c>
    </row>
    <row r="10" spans="2:34" ht="15" thickBot="1" x14ac:dyDescent="0.35">
      <c r="B10" s="30" t="s">
        <v>39</v>
      </c>
      <c r="C10" s="15"/>
      <c r="D10" s="16"/>
      <c r="E10" s="17"/>
      <c r="F10" s="16"/>
      <c r="G10" s="17"/>
      <c r="H10" s="16"/>
      <c r="I10" s="17"/>
      <c r="J10" s="16"/>
      <c r="K10" s="17"/>
      <c r="L10" s="16"/>
      <c r="M10" s="17"/>
      <c r="N10" s="16"/>
      <c r="O10" s="17">
        <v>25</v>
      </c>
      <c r="P10" s="16">
        <v>0</v>
      </c>
      <c r="Q10" s="17">
        <v>25</v>
      </c>
      <c r="R10" s="16">
        <v>0</v>
      </c>
      <c r="S10" s="17">
        <v>25</v>
      </c>
      <c r="T10" s="16">
        <v>0</v>
      </c>
      <c r="U10" s="15">
        <v>25</v>
      </c>
      <c r="V10" s="20">
        <v>0</v>
      </c>
      <c r="W10" s="15"/>
      <c r="X10" s="20"/>
      <c r="Y10" s="17">
        <f t="shared" si="0"/>
        <v>100</v>
      </c>
      <c r="Z10" s="23">
        <f t="shared" si="1"/>
        <v>0</v>
      </c>
      <c r="AA10" s="1">
        <f t="shared" si="3"/>
        <v>565</v>
      </c>
      <c r="AB10" s="1">
        <f t="shared" si="3"/>
        <v>71.540000000000006</v>
      </c>
      <c r="AC10" s="1">
        <f t="shared" si="2"/>
        <v>-493.46</v>
      </c>
      <c r="AD10" s="44" t="s">
        <v>74</v>
      </c>
      <c r="AE10" s="44">
        <f>+I29+'Punters 2021'!G27+'Punters 2020'!I27+'Punters club'!J10</f>
        <v>899.9</v>
      </c>
      <c r="AF10" s="44">
        <f>+J29+'Punters 2021'!H27+'Punters 2020'!J27+'Punters club'!K10</f>
        <v>1459.8999999999999</v>
      </c>
      <c r="AG10" s="44">
        <f t="shared" si="4"/>
        <v>559.99999999999989</v>
      </c>
      <c r="AH10" s="45">
        <f t="shared" si="5"/>
        <v>0.6222913657073007</v>
      </c>
    </row>
    <row r="11" spans="2:34" ht="15" thickBot="1" x14ac:dyDescent="0.35">
      <c r="B11" s="30" t="s">
        <v>40</v>
      </c>
      <c r="C11" s="15">
        <v>25</v>
      </c>
      <c r="D11" s="16">
        <v>0</v>
      </c>
      <c r="E11" s="17">
        <v>25</v>
      </c>
      <c r="F11" s="16">
        <v>108</v>
      </c>
      <c r="G11" s="17">
        <v>25</v>
      </c>
      <c r="H11" s="16">
        <v>0</v>
      </c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6"/>
      <c r="U11" s="15"/>
      <c r="V11" s="20"/>
      <c r="W11" s="15"/>
      <c r="X11" s="20"/>
      <c r="Y11" s="17">
        <f t="shared" si="0"/>
        <v>75</v>
      </c>
      <c r="Z11" s="35">
        <f t="shared" si="1"/>
        <v>108</v>
      </c>
      <c r="AA11" s="1">
        <f t="shared" si="3"/>
        <v>640</v>
      </c>
      <c r="AB11" s="1">
        <f t="shared" si="3"/>
        <v>179.54000000000002</v>
      </c>
      <c r="AC11" s="1">
        <f t="shared" si="2"/>
        <v>-460.46</v>
      </c>
      <c r="AD11" s="44" t="s">
        <v>75</v>
      </c>
      <c r="AE11" s="44">
        <f>+K29+'Punters 2021'!E27+'Punters 2020'!K27</f>
        <v>633</v>
      </c>
      <c r="AF11" s="44">
        <f>+L29+'Punters 2021'!F27+'Punters 2020'!L27</f>
        <v>58.25</v>
      </c>
      <c r="AG11" s="44">
        <f t="shared" si="4"/>
        <v>-574.75</v>
      </c>
      <c r="AH11" s="45">
        <f t="shared" si="5"/>
        <v>-0.90797788309636651</v>
      </c>
    </row>
    <row r="12" spans="2:34" ht="15" thickBot="1" x14ac:dyDescent="0.35">
      <c r="B12" s="30" t="s">
        <v>41</v>
      </c>
      <c r="C12" s="15"/>
      <c r="D12" s="16"/>
      <c r="E12" s="17"/>
      <c r="F12" s="16"/>
      <c r="G12" s="17"/>
      <c r="H12" s="16"/>
      <c r="I12" s="17">
        <f>5+2.5+2.5+5+2.5+7+0.5</f>
        <v>25</v>
      </c>
      <c r="J12" s="16">
        <v>0</v>
      </c>
      <c r="K12" s="17">
        <f>5+10+10</f>
        <v>25</v>
      </c>
      <c r="L12" s="16">
        <v>0</v>
      </c>
      <c r="M12" s="17">
        <v>25</v>
      </c>
      <c r="N12" s="16">
        <v>0</v>
      </c>
      <c r="O12" s="17"/>
      <c r="P12" s="16"/>
      <c r="Q12" s="17"/>
      <c r="R12" s="16"/>
      <c r="S12" s="17"/>
      <c r="T12" s="16"/>
      <c r="U12" s="15"/>
      <c r="V12" s="20"/>
      <c r="W12" s="15"/>
      <c r="X12" s="20"/>
      <c r="Y12" s="17">
        <f t="shared" si="0"/>
        <v>75</v>
      </c>
      <c r="Z12" s="23">
        <f t="shared" si="1"/>
        <v>0</v>
      </c>
      <c r="AA12" s="1">
        <f t="shared" si="3"/>
        <v>715</v>
      </c>
      <c r="AB12" s="1">
        <f t="shared" si="3"/>
        <v>179.54000000000002</v>
      </c>
      <c r="AC12" s="1">
        <f t="shared" si="2"/>
        <v>-535.46</v>
      </c>
      <c r="AD12" s="44" t="s">
        <v>76</v>
      </c>
      <c r="AE12" s="44">
        <f>+M29+'Punters 2021'!S27+'Punters 2020'!S27+'Punters club'!J8</f>
        <v>954.96</v>
      </c>
      <c r="AF12" s="44">
        <f>+N29+'Punters 2021'!T27+'Punters 2020'!T27+'Punters club'!K8</f>
        <v>564.32999999999993</v>
      </c>
      <c r="AG12" s="44">
        <f t="shared" si="4"/>
        <v>-390.63000000000011</v>
      </c>
      <c r="AH12" s="45">
        <f t="shared" si="5"/>
        <v>-0.40905378235737633</v>
      </c>
    </row>
    <row r="13" spans="2:34" ht="15" thickBot="1" x14ac:dyDescent="0.35">
      <c r="B13" s="30" t="s">
        <v>42</v>
      </c>
      <c r="C13" s="15"/>
      <c r="D13" s="16"/>
      <c r="E13" s="17"/>
      <c r="F13" s="16"/>
      <c r="G13" s="17"/>
      <c r="H13" s="16"/>
      <c r="I13" s="17"/>
      <c r="J13" s="16"/>
      <c r="K13" s="17"/>
      <c r="L13" s="16"/>
      <c r="M13" s="17"/>
      <c r="N13" s="16"/>
      <c r="O13" s="17">
        <v>25</v>
      </c>
      <c r="P13" s="16">
        <v>0</v>
      </c>
      <c r="Q13" s="17">
        <v>25</v>
      </c>
      <c r="R13" s="16">
        <v>0</v>
      </c>
      <c r="S13" s="17">
        <v>25</v>
      </c>
      <c r="T13" s="16">
        <v>0</v>
      </c>
      <c r="U13" s="15"/>
      <c r="V13" s="20"/>
      <c r="W13" s="15"/>
      <c r="X13" s="20"/>
      <c r="Y13" s="17">
        <f t="shared" si="0"/>
        <v>75</v>
      </c>
      <c r="Z13" s="23">
        <f t="shared" si="1"/>
        <v>0</v>
      </c>
      <c r="AA13" s="1">
        <f t="shared" si="3"/>
        <v>790</v>
      </c>
      <c r="AB13" s="1">
        <f t="shared" si="3"/>
        <v>179.54000000000002</v>
      </c>
      <c r="AC13" s="1">
        <f t="shared" si="2"/>
        <v>-610.46</v>
      </c>
      <c r="AD13" s="44" t="s">
        <v>77</v>
      </c>
      <c r="AE13" s="44">
        <f>+O29+'Punters 2021'!O27+'Punters 2020'!O27+'Punters club'!J9</f>
        <v>881.34</v>
      </c>
      <c r="AF13" s="44">
        <f>+P29+'Punters 2021'!P27+'Punters 2020'!P27+'Punters club'!K9</f>
        <v>218.25</v>
      </c>
      <c r="AG13" s="44">
        <f t="shared" si="4"/>
        <v>-663.09</v>
      </c>
      <c r="AH13" s="45">
        <f t="shared" si="5"/>
        <v>-0.75236571584178635</v>
      </c>
    </row>
    <row r="14" spans="2:34" ht="15" thickBot="1" x14ac:dyDescent="0.35">
      <c r="B14" s="30" t="s">
        <v>43</v>
      </c>
      <c r="C14" s="15">
        <v>25</v>
      </c>
      <c r="D14" s="16">
        <v>0</v>
      </c>
      <c r="E14" s="17">
        <v>25</v>
      </c>
      <c r="F14" s="16">
        <v>0</v>
      </c>
      <c r="G14" s="17"/>
      <c r="H14" s="16"/>
      <c r="I14" s="17"/>
      <c r="J14" s="16"/>
      <c r="K14" s="17"/>
      <c r="L14" s="16"/>
      <c r="M14" s="17"/>
      <c r="N14" s="16"/>
      <c r="O14" s="17"/>
      <c r="P14" s="16"/>
      <c r="Q14" s="17"/>
      <c r="R14" s="16"/>
      <c r="S14" s="17"/>
      <c r="T14" s="16"/>
      <c r="U14" s="15"/>
      <c r="V14" s="20"/>
      <c r="W14" s="15"/>
      <c r="X14" s="20"/>
      <c r="Y14" s="17">
        <f t="shared" si="0"/>
        <v>50</v>
      </c>
      <c r="Z14" s="23">
        <f t="shared" si="1"/>
        <v>0</v>
      </c>
      <c r="AA14" s="1">
        <f t="shared" si="3"/>
        <v>840</v>
      </c>
      <c r="AB14" s="1">
        <f t="shared" si="3"/>
        <v>179.54000000000002</v>
      </c>
      <c r="AC14" s="1">
        <f t="shared" si="2"/>
        <v>-660.46</v>
      </c>
      <c r="AD14" s="44" t="s">
        <v>78</v>
      </c>
      <c r="AE14" s="44">
        <f>+Q29+'Punters 2021'!M27+'Punters 2020'!Q27+'Punters club'!J5</f>
        <v>883</v>
      </c>
      <c r="AF14" s="44">
        <f>+R29+'Punters 2021'!N27+'Punters 2020'!R27+'Punters club'!K5</f>
        <v>637.47</v>
      </c>
      <c r="AG14" s="44">
        <f t="shared" si="4"/>
        <v>-245.52999999999997</v>
      </c>
      <c r="AH14" s="45">
        <f t="shared" si="5"/>
        <v>-0.27806342015855035</v>
      </c>
    </row>
    <row r="15" spans="2:34" ht="15" thickBot="1" x14ac:dyDescent="0.35">
      <c r="B15" s="30" t="s">
        <v>44</v>
      </c>
      <c r="C15" s="15"/>
      <c r="D15" s="16"/>
      <c r="E15" s="17"/>
      <c r="F15" s="16"/>
      <c r="G15" s="17">
        <v>10</v>
      </c>
      <c r="H15" s="16">
        <v>0</v>
      </c>
      <c r="I15" s="17">
        <v>25</v>
      </c>
      <c r="J15" s="16">
        <v>322.48</v>
      </c>
      <c r="K15" s="17"/>
      <c r="L15" s="16"/>
      <c r="M15" s="17">
        <v>25</v>
      </c>
      <c r="N15" s="16">
        <v>0</v>
      </c>
      <c r="O15" s="17"/>
      <c r="P15" s="16"/>
      <c r="Q15" s="17"/>
      <c r="R15" s="16"/>
      <c r="S15" s="17"/>
      <c r="T15" s="16"/>
      <c r="U15" s="15">
        <v>30</v>
      </c>
      <c r="V15" s="20">
        <v>46.25</v>
      </c>
      <c r="W15" s="15"/>
      <c r="X15" s="20"/>
      <c r="Y15" s="17">
        <f t="shared" si="0"/>
        <v>90</v>
      </c>
      <c r="Z15" s="35">
        <f t="shared" si="1"/>
        <v>368.73</v>
      </c>
      <c r="AA15" s="1">
        <f t="shared" si="3"/>
        <v>930</v>
      </c>
      <c r="AB15" s="1">
        <f t="shared" si="3"/>
        <v>548.27</v>
      </c>
      <c r="AC15" s="1">
        <f t="shared" si="2"/>
        <v>-381.73</v>
      </c>
      <c r="AD15" s="44" t="s">
        <v>79</v>
      </c>
      <c r="AE15" s="44">
        <f>+S29+'Punters 2021'!C27+'Punters 2020'!C27+'Punters club'!J4</f>
        <v>892.7</v>
      </c>
      <c r="AF15" s="44">
        <f>+T29+'Punters 2021'!D27+'Punters 2020'!D27+'Punters club'!K4</f>
        <v>1461.09</v>
      </c>
      <c r="AG15" s="44">
        <f t="shared" si="4"/>
        <v>568.38999999999987</v>
      </c>
      <c r="AH15" s="45">
        <f t="shared" si="5"/>
        <v>0.63670886075949351</v>
      </c>
    </row>
    <row r="16" spans="2:34" ht="15" thickBot="1" x14ac:dyDescent="0.35">
      <c r="B16" s="30" t="s">
        <v>45</v>
      </c>
      <c r="C16" s="15"/>
      <c r="D16" s="16"/>
      <c r="E16" s="17"/>
      <c r="F16" s="16"/>
      <c r="G16" s="17">
        <f>5+2+2+2</f>
        <v>11</v>
      </c>
      <c r="H16" s="16">
        <v>34.1</v>
      </c>
      <c r="I16" s="17"/>
      <c r="J16" s="16"/>
      <c r="K16" s="17">
        <f>10+15</f>
        <v>25</v>
      </c>
      <c r="L16" s="16">
        <v>0</v>
      </c>
      <c r="M16" s="17"/>
      <c r="N16" s="16"/>
      <c r="O16" s="17">
        <v>25</v>
      </c>
      <c r="P16" s="16">
        <v>0</v>
      </c>
      <c r="Q16" s="17">
        <f>10+5+5+3+2+5-5</f>
        <v>25</v>
      </c>
      <c r="R16" s="16">
        <v>49.29</v>
      </c>
      <c r="S16" s="17">
        <v>25</v>
      </c>
      <c r="T16" s="16">
        <v>0</v>
      </c>
      <c r="U16" s="15">
        <f>5+5+10</f>
        <v>20</v>
      </c>
      <c r="V16" s="20">
        <v>0</v>
      </c>
      <c r="W16" s="15"/>
      <c r="X16" s="20"/>
      <c r="Y16" s="17">
        <f t="shared" si="0"/>
        <v>131</v>
      </c>
      <c r="Z16" s="35">
        <f t="shared" si="1"/>
        <v>83.39</v>
      </c>
      <c r="AA16" s="1">
        <f t="shared" si="3"/>
        <v>1061</v>
      </c>
      <c r="AB16" s="1">
        <f t="shared" si="3"/>
        <v>631.66</v>
      </c>
      <c r="AC16" s="1">
        <f t="shared" si="2"/>
        <v>-429.34000000000003</v>
      </c>
      <c r="AD16" s="44" t="s">
        <v>80</v>
      </c>
      <c r="AE16" s="44">
        <f>+U29</f>
        <v>200</v>
      </c>
      <c r="AF16" s="44">
        <f>+V29</f>
        <v>86.25</v>
      </c>
      <c r="AG16" s="44">
        <f t="shared" ref="AG16" si="6">+AF16-AE16</f>
        <v>-113.75</v>
      </c>
      <c r="AH16" s="45">
        <f t="shared" ref="AH16" si="7">(AF16-AE16)/AE16</f>
        <v>-0.56874999999999998</v>
      </c>
    </row>
    <row r="17" spans="2:30" ht="15" thickBot="1" x14ac:dyDescent="0.35">
      <c r="B17" s="30" t="s">
        <v>46</v>
      </c>
      <c r="C17" s="15">
        <v>25</v>
      </c>
      <c r="D17" s="16">
        <v>0</v>
      </c>
      <c r="E17" s="17">
        <v>25</v>
      </c>
      <c r="F17" s="16">
        <v>98.44</v>
      </c>
      <c r="G17" s="17">
        <v>25</v>
      </c>
      <c r="H17" s="16">
        <v>107.5</v>
      </c>
      <c r="I17" s="17"/>
      <c r="J17" s="16"/>
      <c r="K17" s="17"/>
      <c r="L17" s="16"/>
      <c r="M17" s="17"/>
      <c r="N17" s="16"/>
      <c r="O17" s="17"/>
      <c r="P17" s="16"/>
      <c r="Q17" s="17"/>
      <c r="R17" s="16"/>
      <c r="S17" s="17"/>
      <c r="T17" s="16"/>
      <c r="U17" s="15"/>
      <c r="V17" s="20"/>
      <c r="W17" s="15"/>
      <c r="X17" s="20"/>
      <c r="Y17" s="17">
        <f t="shared" si="0"/>
        <v>75</v>
      </c>
      <c r="Z17" s="35">
        <f t="shared" si="1"/>
        <v>205.94</v>
      </c>
      <c r="AA17" s="1">
        <f t="shared" si="3"/>
        <v>1136</v>
      </c>
      <c r="AB17" s="1">
        <f t="shared" si="3"/>
        <v>837.59999999999991</v>
      </c>
      <c r="AC17" s="1">
        <f t="shared" si="2"/>
        <v>-298.40000000000009</v>
      </c>
      <c r="AD17" s="1"/>
    </row>
    <row r="18" spans="2:30" ht="15" thickBot="1" x14ac:dyDescent="0.35">
      <c r="B18" s="30" t="s">
        <v>47</v>
      </c>
      <c r="C18" s="15"/>
      <c r="D18" s="16"/>
      <c r="E18" s="17"/>
      <c r="F18" s="16"/>
      <c r="G18" s="17"/>
      <c r="H18" s="16"/>
      <c r="I18" s="17">
        <f>5+5+7.75+2.25+2.5+2.5</f>
        <v>25</v>
      </c>
      <c r="J18" s="16">
        <v>0.53</v>
      </c>
      <c r="K18" s="17">
        <f>10+5+10</f>
        <v>25</v>
      </c>
      <c r="L18" s="16">
        <v>0</v>
      </c>
      <c r="M18" s="17">
        <f>5+10+5</f>
        <v>20</v>
      </c>
      <c r="N18" s="16">
        <v>0</v>
      </c>
      <c r="O18" s="17"/>
      <c r="P18" s="16"/>
      <c r="Q18" s="17"/>
      <c r="R18" s="16"/>
      <c r="S18" s="17"/>
      <c r="T18" s="16"/>
      <c r="U18" s="15">
        <v>15</v>
      </c>
      <c r="V18" s="20">
        <v>40</v>
      </c>
      <c r="W18" s="15"/>
      <c r="X18" s="20"/>
      <c r="Y18" s="17">
        <f t="shared" si="0"/>
        <v>85</v>
      </c>
      <c r="Z18" s="35">
        <f t="shared" si="1"/>
        <v>40.53</v>
      </c>
      <c r="AA18" s="1">
        <f t="shared" si="3"/>
        <v>1221</v>
      </c>
      <c r="AB18" s="1">
        <f t="shared" si="3"/>
        <v>878.12999999999988</v>
      </c>
      <c r="AC18" s="1">
        <f t="shared" si="2"/>
        <v>-342.87000000000012</v>
      </c>
      <c r="AD18" s="1"/>
    </row>
    <row r="19" spans="2:30" ht="15" thickBot="1" x14ac:dyDescent="0.35">
      <c r="B19" s="30" t="s">
        <v>48</v>
      </c>
      <c r="C19" s="15"/>
      <c r="D19" s="16"/>
      <c r="E19" s="17"/>
      <c r="F19" s="16"/>
      <c r="G19" s="17">
        <v>4</v>
      </c>
      <c r="H19" s="16">
        <v>0</v>
      </c>
      <c r="I19" s="17"/>
      <c r="J19" s="16"/>
      <c r="K19" s="17"/>
      <c r="L19" s="16"/>
      <c r="M19" s="17">
        <v>5</v>
      </c>
      <c r="N19" s="16">
        <v>0</v>
      </c>
      <c r="O19" s="17">
        <v>25</v>
      </c>
      <c r="P19" s="16">
        <v>217.61</v>
      </c>
      <c r="Q19" s="17">
        <v>25</v>
      </c>
      <c r="R19" s="16">
        <v>0</v>
      </c>
      <c r="S19" s="17">
        <v>25</v>
      </c>
      <c r="T19" s="16">
        <v>0</v>
      </c>
      <c r="U19" s="15"/>
      <c r="V19" s="20"/>
      <c r="W19" s="15"/>
      <c r="X19" s="20"/>
      <c r="Y19" s="17">
        <f t="shared" si="0"/>
        <v>84</v>
      </c>
      <c r="Z19" s="35">
        <f t="shared" si="1"/>
        <v>217.61</v>
      </c>
      <c r="AA19" s="1">
        <f t="shared" si="3"/>
        <v>1305</v>
      </c>
      <c r="AB19" s="1">
        <f t="shared" si="3"/>
        <v>1095.7399999999998</v>
      </c>
      <c r="AC19" s="1">
        <f t="shared" si="2"/>
        <v>-209.26000000000022</v>
      </c>
      <c r="AD19" s="1"/>
    </row>
    <row r="20" spans="2:30" ht="15" thickBot="1" x14ac:dyDescent="0.35">
      <c r="B20" s="30" t="s">
        <v>49</v>
      </c>
      <c r="C20" s="15">
        <v>25</v>
      </c>
      <c r="D20" s="16">
        <v>0</v>
      </c>
      <c r="E20" s="17">
        <f>10+8</f>
        <v>18</v>
      </c>
      <c r="F20" s="16">
        <v>0</v>
      </c>
      <c r="G20" s="17">
        <f>2+2+1+2+5+5+5+3</f>
        <v>25</v>
      </c>
      <c r="H20" s="16">
        <v>0</v>
      </c>
      <c r="I20" s="17"/>
      <c r="J20" s="16"/>
      <c r="K20" s="17"/>
      <c r="L20" s="16"/>
      <c r="M20" s="17"/>
      <c r="N20" s="16"/>
      <c r="O20" s="17"/>
      <c r="P20" s="16"/>
      <c r="Q20" s="17"/>
      <c r="R20" s="16"/>
      <c r="S20" s="17"/>
      <c r="T20" s="16"/>
      <c r="U20" s="15">
        <f>5+5+5</f>
        <v>15</v>
      </c>
      <c r="V20" s="20">
        <v>0</v>
      </c>
      <c r="W20" s="15"/>
      <c r="X20" s="20"/>
      <c r="Y20" s="17">
        <f t="shared" si="0"/>
        <v>83</v>
      </c>
      <c r="Z20" s="23">
        <f t="shared" si="1"/>
        <v>0</v>
      </c>
      <c r="AA20" s="1">
        <f t="shared" si="3"/>
        <v>1388</v>
      </c>
      <c r="AB20" s="1">
        <f t="shared" si="3"/>
        <v>1095.7399999999998</v>
      </c>
      <c r="AC20" s="1">
        <f t="shared" si="2"/>
        <v>-292.26000000000022</v>
      </c>
      <c r="AD20" s="1"/>
    </row>
    <row r="21" spans="2:30" ht="15" thickBot="1" x14ac:dyDescent="0.35">
      <c r="B21" s="30" t="s">
        <v>50</v>
      </c>
      <c r="C21" s="15"/>
      <c r="D21" s="16"/>
      <c r="E21" s="17"/>
      <c r="F21" s="16"/>
      <c r="G21" s="17"/>
      <c r="H21" s="16"/>
      <c r="I21" s="17">
        <f>5+5+1+1+2+2+1+5+3</f>
        <v>25</v>
      </c>
      <c r="J21" s="16">
        <v>0</v>
      </c>
      <c r="K21" s="17">
        <f>5+10+5</f>
        <v>20</v>
      </c>
      <c r="L21" s="16">
        <v>46.25</v>
      </c>
      <c r="M21" s="17">
        <f>10+5+5</f>
        <v>20</v>
      </c>
      <c r="N21" s="16">
        <v>0</v>
      </c>
      <c r="O21" s="17"/>
      <c r="P21" s="16"/>
      <c r="Q21" s="17"/>
      <c r="R21" s="16"/>
      <c r="S21" s="17"/>
      <c r="T21" s="16"/>
      <c r="U21" s="15">
        <v>5</v>
      </c>
      <c r="V21" s="20">
        <v>0</v>
      </c>
      <c r="W21" s="15"/>
      <c r="X21" s="20"/>
      <c r="Y21" s="17">
        <f t="shared" si="0"/>
        <v>70</v>
      </c>
      <c r="Z21" s="16">
        <f t="shared" si="1"/>
        <v>46.25</v>
      </c>
      <c r="AA21" s="1">
        <f t="shared" si="3"/>
        <v>1458</v>
      </c>
      <c r="AB21" s="1">
        <f t="shared" si="3"/>
        <v>1141.9899999999998</v>
      </c>
      <c r="AC21" s="1">
        <f t="shared" si="2"/>
        <v>-316.01000000000022</v>
      </c>
      <c r="AD21" s="1"/>
    </row>
    <row r="22" spans="2:30" ht="15" thickBot="1" x14ac:dyDescent="0.35">
      <c r="B22" s="30" t="s">
        <v>59</v>
      </c>
      <c r="C22" s="15"/>
      <c r="D22" s="16"/>
      <c r="E22" s="17"/>
      <c r="F22" s="16"/>
      <c r="G22" s="17"/>
      <c r="H22" s="16"/>
      <c r="I22" s="17"/>
      <c r="J22" s="16"/>
      <c r="K22" s="17"/>
      <c r="L22" s="16"/>
      <c r="M22" s="17">
        <v>5</v>
      </c>
      <c r="N22" s="16">
        <v>0</v>
      </c>
      <c r="O22" s="17">
        <f>5+5+2.5+2.5+2.5+2.5+5</f>
        <v>25</v>
      </c>
      <c r="P22" s="16"/>
      <c r="Q22" s="17">
        <f>5+5+3+2+5+5</f>
        <v>25</v>
      </c>
      <c r="R22" s="16"/>
      <c r="S22" s="17">
        <f>5+10+9.99</f>
        <v>24.990000000000002</v>
      </c>
      <c r="T22" s="16"/>
      <c r="U22" s="15">
        <f>5+5+5</f>
        <v>15</v>
      </c>
      <c r="V22" s="20">
        <v>0</v>
      </c>
      <c r="W22" s="15"/>
      <c r="X22" s="20"/>
      <c r="Y22" s="17">
        <f t="shared" si="0"/>
        <v>94.990000000000009</v>
      </c>
      <c r="Z22" s="16">
        <f t="shared" si="1"/>
        <v>0</v>
      </c>
      <c r="AA22" s="1">
        <f t="shared" ref="AA22:AB25" si="8">AA21+Y22</f>
        <v>1552.99</v>
      </c>
      <c r="AB22" s="1">
        <f t="shared" si="8"/>
        <v>1141.9899999999998</v>
      </c>
      <c r="AC22" s="1">
        <f t="shared" si="2"/>
        <v>-411.00000000000023</v>
      </c>
      <c r="AD22" s="1"/>
    </row>
    <row r="23" spans="2:30" ht="15" thickBot="1" x14ac:dyDescent="0.35">
      <c r="B23" s="30" t="s">
        <v>60</v>
      </c>
      <c r="C23" s="15">
        <v>25</v>
      </c>
      <c r="D23" s="16">
        <v>0</v>
      </c>
      <c r="E23" s="17">
        <v>27</v>
      </c>
      <c r="F23" s="16">
        <v>0</v>
      </c>
      <c r="G23" s="17"/>
      <c r="H23" s="16"/>
      <c r="I23" s="17"/>
      <c r="J23" s="16"/>
      <c r="K23" s="17"/>
      <c r="L23" s="16"/>
      <c r="M23" s="17"/>
      <c r="N23" s="16"/>
      <c r="O23" s="17"/>
      <c r="P23" s="16"/>
      <c r="Q23" s="17"/>
      <c r="R23" s="16"/>
      <c r="S23" s="17"/>
      <c r="T23" s="16"/>
      <c r="U23" s="15"/>
      <c r="V23" s="20"/>
      <c r="W23" s="15"/>
      <c r="X23" s="20"/>
      <c r="Y23" s="17">
        <f t="shared" si="0"/>
        <v>52</v>
      </c>
      <c r="Z23" s="16">
        <f t="shared" si="1"/>
        <v>0</v>
      </c>
      <c r="AA23" s="1">
        <f t="shared" si="8"/>
        <v>1604.99</v>
      </c>
      <c r="AB23" s="1">
        <f t="shared" si="8"/>
        <v>1141.9899999999998</v>
      </c>
      <c r="AC23" s="1">
        <f t="shared" si="2"/>
        <v>-463.00000000000023</v>
      </c>
      <c r="AD23" s="1"/>
    </row>
    <row r="24" spans="2:30" ht="15" thickBot="1" x14ac:dyDescent="0.35">
      <c r="B24" s="30" t="s">
        <v>61</v>
      </c>
      <c r="C24" s="15"/>
      <c r="D24" s="16"/>
      <c r="E24" s="17">
        <v>5</v>
      </c>
      <c r="F24" s="16">
        <v>0</v>
      </c>
      <c r="G24" s="17">
        <f>5+3+5+7</f>
        <v>20</v>
      </c>
      <c r="H24" s="16">
        <v>259</v>
      </c>
      <c r="I24" s="17">
        <f>5+7.75+2.25+2.7+2.3+1+1+1+2</f>
        <v>25</v>
      </c>
      <c r="J24" s="16">
        <v>2.81</v>
      </c>
      <c r="K24" s="17">
        <v>30</v>
      </c>
      <c r="L24" s="16">
        <v>0</v>
      </c>
      <c r="M24" s="17">
        <f>2.5+2.5+2.5+2.5</f>
        <v>10</v>
      </c>
      <c r="N24" s="16">
        <v>0</v>
      </c>
      <c r="O24" s="17"/>
      <c r="P24" s="16"/>
      <c r="Q24" s="17"/>
      <c r="R24" s="16"/>
      <c r="S24" s="17"/>
      <c r="T24" s="16"/>
      <c r="U24" s="15"/>
      <c r="V24" s="20"/>
      <c r="W24" s="15"/>
      <c r="X24" s="20"/>
      <c r="Y24" s="17">
        <f t="shared" si="0"/>
        <v>90</v>
      </c>
      <c r="Z24" s="16">
        <f t="shared" si="1"/>
        <v>261.81</v>
      </c>
      <c r="AA24" s="1">
        <f t="shared" si="8"/>
        <v>1694.99</v>
      </c>
      <c r="AB24" s="1">
        <f t="shared" si="8"/>
        <v>1403.7999999999997</v>
      </c>
      <c r="AC24" s="1">
        <f t="shared" si="2"/>
        <v>-291.19000000000028</v>
      </c>
      <c r="AD24" s="1"/>
    </row>
    <row r="25" spans="2:30" ht="15" thickBot="1" x14ac:dyDescent="0.35">
      <c r="B25" s="30" t="s">
        <v>62</v>
      </c>
      <c r="C25" s="15"/>
      <c r="D25" s="16"/>
      <c r="E25" s="17"/>
      <c r="F25" s="16"/>
      <c r="G25" s="17">
        <v>6</v>
      </c>
      <c r="H25" s="16">
        <v>0</v>
      </c>
      <c r="I25" s="17"/>
      <c r="J25" s="16"/>
      <c r="K25" s="17"/>
      <c r="L25" s="16"/>
      <c r="M25" s="17">
        <v>5</v>
      </c>
      <c r="N25" s="16">
        <v>0</v>
      </c>
      <c r="O25" s="17">
        <f>7.5+0.5+2+2.5+2.5+2.5+2.5+5</f>
        <v>25</v>
      </c>
      <c r="P25" s="16">
        <v>0</v>
      </c>
      <c r="Q25" s="17">
        <f>5+5+10+5</f>
        <v>25</v>
      </c>
      <c r="R25" s="16">
        <v>0</v>
      </c>
      <c r="S25" s="17">
        <f>1+4+5+5+10+10</f>
        <v>35</v>
      </c>
      <c r="T25" s="16">
        <v>0</v>
      </c>
      <c r="U25" s="15">
        <v>5</v>
      </c>
      <c r="V25" s="20"/>
      <c r="W25" s="15"/>
      <c r="X25" s="20"/>
      <c r="Y25" s="17">
        <f t="shared" si="0"/>
        <v>101</v>
      </c>
      <c r="Z25" s="16">
        <f t="shared" si="1"/>
        <v>0</v>
      </c>
      <c r="AA25" s="1">
        <f t="shared" si="8"/>
        <v>1795.99</v>
      </c>
      <c r="AB25" s="1">
        <f t="shared" si="8"/>
        <v>1403.7999999999997</v>
      </c>
      <c r="AC25" s="1">
        <f t="shared" si="2"/>
        <v>-392.19000000000028</v>
      </c>
      <c r="AD25" s="1"/>
    </row>
    <row r="26" spans="2:30" ht="15" thickBot="1" x14ac:dyDescent="0.35">
      <c r="B26" s="30" t="s">
        <v>63</v>
      </c>
      <c r="C26" s="15">
        <v>15</v>
      </c>
      <c r="D26" s="16">
        <v>7.75</v>
      </c>
      <c r="E26" s="17">
        <v>15</v>
      </c>
      <c r="F26" s="16">
        <v>16</v>
      </c>
      <c r="G26" s="17">
        <f>7+7</f>
        <v>14</v>
      </c>
      <c r="H26" s="16">
        <v>0</v>
      </c>
      <c r="I26" s="17">
        <v>15</v>
      </c>
      <c r="J26" s="16">
        <v>0</v>
      </c>
      <c r="K26" s="17">
        <v>15</v>
      </c>
      <c r="L26" s="16">
        <v>0</v>
      </c>
      <c r="M26" s="17">
        <f>10+10</f>
        <v>20</v>
      </c>
      <c r="N26" s="16"/>
      <c r="O26" s="17">
        <v>15</v>
      </c>
      <c r="P26" s="16">
        <v>0</v>
      </c>
      <c r="Q26" s="17">
        <f>10+5</f>
        <v>15</v>
      </c>
      <c r="R26" s="16"/>
      <c r="S26" s="17">
        <v>5.01</v>
      </c>
      <c r="T26" s="16">
        <v>0</v>
      </c>
      <c r="U26" s="15">
        <f>10+10+10+5+5+5+5</f>
        <v>50</v>
      </c>
      <c r="V26" s="20"/>
      <c r="W26" s="15"/>
      <c r="X26" s="20"/>
      <c r="Y26" s="17">
        <f t="shared" ref="Y26" si="9">U26+S26+Q26+O26+M26+K26+I26+G26+E26+C26</f>
        <v>179.01</v>
      </c>
      <c r="Z26" s="16">
        <f t="shared" ref="Z26" si="10">V26+T26+R26+P26+N26+L26+J26+H26+F26+D26</f>
        <v>23.75</v>
      </c>
      <c r="AA26" s="1">
        <f>AA24+Y26</f>
        <v>1874</v>
      </c>
      <c r="AB26" s="1">
        <f>AB24+Z26</f>
        <v>1427.5499999999997</v>
      </c>
      <c r="AC26" s="1">
        <f t="shared" ref="AC26" si="11">AB26-AA26</f>
        <v>-446.45000000000027</v>
      </c>
      <c r="AD26" s="1"/>
    </row>
    <row r="27" spans="2:30" ht="15" thickBot="1" x14ac:dyDescent="0.35">
      <c r="B27" s="30" t="s">
        <v>81</v>
      </c>
      <c r="C27" s="15"/>
      <c r="D27" s="16"/>
      <c r="E27" s="17">
        <v>10</v>
      </c>
      <c r="F27" s="16">
        <v>0</v>
      </c>
      <c r="G27" s="17">
        <f>5+5</f>
        <v>10</v>
      </c>
      <c r="H27" s="16">
        <v>0</v>
      </c>
      <c r="I27" s="17">
        <v>10</v>
      </c>
      <c r="J27" s="16">
        <v>0</v>
      </c>
      <c r="K27" s="17"/>
      <c r="L27" s="16"/>
      <c r="M27" s="17">
        <v>5</v>
      </c>
      <c r="N27" s="16">
        <v>0</v>
      </c>
      <c r="O27" s="17">
        <v>10</v>
      </c>
      <c r="P27" s="16">
        <v>0</v>
      </c>
      <c r="Q27" s="17">
        <v>10</v>
      </c>
      <c r="R27" s="16">
        <v>0</v>
      </c>
      <c r="S27" s="17">
        <v>10</v>
      </c>
      <c r="T27" s="16">
        <v>0</v>
      </c>
      <c r="U27" s="15">
        <f>5+5+5+5</f>
        <v>20</v>
      </c>
      <c r="V27" s="20"/>
      <c r="W27" s="15">
        <v>0</v>
      </c>
      <c r="X27" s="20">
        <v>93.78</v>
      </c>
      <c r="Y27" s="17">
        <f t="shared" ref="Y27" si="12">U27+S27+Q27+O27+M27+K27+I27+G27+E27+C27</f>
        <v>85</v>
      </c>
      <c r="Z27" s="16">
        <f>V27+T27+R27+P27+N27+L27+J27+H27+F27+D27+X27</f>
        <v>93.78</v>
      </c>
      <c r="AA27" s="1">
        <f>AA25+Y27</f>
        <v>1880.99</v>
      </c>
      <c r="AB27" s="1">
        <f>AB25+Z27</f>
        <v>1497.5799999999997</v>
      </c>
      <c r="AC27" s="1">
        <f t="shared" ref="AC27" si="13">AB27-AA27</f>
        <v>-383.41000000000031</v>
      </c>
      <c r="AD27" s="1"/>
    </row>
    <row r="28" spans="2:30" ht="15" thickBot="1" x14ac:dyDescent="0.35">
      <c r="B28" s="30" t="s">
        <v>82</v>
      </c>
      <c r="C28" s="15"/>
      <c r="D28" s="16"/>
      <c r="E28" s="17"/>
      <c r="F28" s="16"/>
      <c r="G28" s="17"/>
      <c r="H28" s="16"/>
      <c r="I28" s="17"/>
      <c r="J28" s="16"/>
      <c r="K28" s="17"/>
      <c r="L28" s="16"/>
      <c r="M28" s="17"/>
      <c r="N28" s="16"/>
      <c r="O28" s="17"/>
      <c r="P28" s="16"/>
      <c r="Q28" s="17"/>
      <c r="R28" s="16"/>
      <c r="S28" s="17"/>
      <c r="T28" s="16"/>
      <c r="U28" s="15"/>
      <c r="V28" s="20"/>
      <c r="W28" s="15">
        <v>461.33</v>
      </c>
      <c r="X28" s="20">
        <v>1476.26</v>
      </c>
      <c r="Y28" s="17">
        <f>U28+S28+Q28+O28+M28+K28+I28+G28+E28+C28+W28</f>
        <v>461.33</v>
      </c>
      <c r="Z28" s="16">
        <f>V28+T28+R28+P28+N28+L28+J28+H28+F28+D28+X28</f>
        <v>1476.26</v>
      </c>
      <c r="AA28" s="1">
        <f>AA25+Y28</f>
        <v>2257.3200000000002</v>
      </c>
      <c r="AB28" s="1">
        <f>AB25+Z28</f>
        <v>2880.0599999999995</v>
      </c>
      <c r="AC28" s="1">
        <f t="shared" si="2"/>
        <v>622.73999999999933</v>
      </c>
      <c r="AD28" s="1"/>
    </row>
    <row r="29" spans="2:30" ht="15" thickBot="1" x14ac:dyDescent="0.35">
      <c r="B29" s="11" t="s">
        <v>55</v>
      </c>
      <c r="C29" s="18">
        <f t="shared" ref="C29:Z29" si="14">SUM(C4:C28)</f>
        <v>200</v>
      </c>
      <c r="D29" s="18">
        <f t="shared" si="14"/>
        <v>7.75</v>
      </c>
      <c r="E29" s="18">
        <f t="shared" si="14"/>
        <v>210</v>
      </c>
      <c r="F29" s="18">
        <f t="shared" si="14"/>
        <v>222.44</v>
      </c>
      <c r="G29" s="18">
        <f t="shared" si="14"/>
        <v>210</v>
      </c>
      <c r="H29" s="18">
        <f t="shared" si="14"/>
        <v>400.6</v>
      </c>
      <c r="I29" s="18">
        <f t="shared" si="14"/>
        <v>210</v>
      </c>
      <c r="J29" s="18">
        <f t="shared" si="14"/>
        <v>325.82</v>
      </c>
      <c r="K29" s="18">
        <f t="shared" si="14"/>
        <v>200</v>
      </c>
      <c r="L29" s="18">
        <f t="shared" si="14"/>
        <v>46.25</v>
      </c>
      <c r="M29" s="18">
        <f t="shared" si="14"/>
        <v>200</v>
      </c>
      <c r="N29" s="18">
        <f t="shared" si="14"/>
        <v>0</v>
      </c>
      <c r="O29" s="18">
        <f t="shared" si="14"/>
        <v>210</v>
      </c>
      <c r="P29" s="18">
        <f t="shared" si="14"/>
        <v>217.61</v>
      </c>
      <c r="Q29" s="18">
        <f t="shared" si="14"/>
        <v>210</v>
      </c>
      <c r="R29" s="18">
        <f t="shared" si="14"/>
        <v>120.83000000000001</v>
      </c>
      <c r="S29" s="18">
        <f t="shared" si="14"/>
        <v>210</v>
      </c>
      <c r="T29" s="18">
        <f t="shared" si="14"/>
        <v>0</v>
      </c>
      <c r="U29" s="18">
        <f t="shared" si="14"/>
        <v>200</v>
      </c>
      <c r="V29" s="21">
        <f t="shared" si="14"/>
        <v>86.25</v>
      </c>
      <c r="W29" s="18">
        <f t="shared" ref="W29:X29" si="15">SUM(W4:W28)</f>
        <v>461.33</v>
      </c>
      <c r="X29" s="21">
        <f t="shared" si="15"/>
        <v>1570.04</v>
      </c>
      <c r="Y29" s="29">
        <f t="shared" si="14"/>
        <v>2521.33</v>
      </c>
      <c r="Z29" s="18">
        <f t="shared" si="14"/>
        <v>2997.5899999999997</v>
      </c>
    </row>
    <row r="30" spans="2:30" x14ac:dyDescent="0.3">
      <c r="D30" s="34">
        <f>(D29-C29)/C29</f>
        <v>-0.96125000000000005</v>
      </c>
      <c r="F30" s="34">
        <f>(F29-E29)/E29</f>
        <v>5.9238095238095229E-2</v>
      </c>
      <c r="H30" s="34">
        <f>(H29-G29)/G29</f>
        <v>0.90761904761904777</v>
      </c>
      <c r="J30" s="34">
        <f>(J29-I29)/I29</f>
        <v>0.55152380952380953</v>
      </c>
      <c r="L30" s="28">
        <f>(L29-K29)/K29</f>
        <v>-0.76875000000000004</v>
      </c>
      <c r="N30" s="28">
        <f>(N29-M29)/M29</f>
        <v>-1</v>
      </c>
      <c r="P30" s="28">
        <f>(P29-O29)/O29</f>
        <v>3.6238095238095305E-2</v>
      </c>
      <c r="R30" s="28">
        <f>(R29-Q29)/Q29</f>
        <v>-0.42461904761904756</v>
      </c>
      <c r="T30" s="28">
        <f>(T29-S29)/S29</f>
        <v>-1</v>
      </c>
    </row>
    <row r="31" spans="2:30" x14ac:dyDescent="0.3">
      <c r="F31" s="70" t="s">
        <v>56</v>
      </c>
      <c r="G31" s="71"/>
      <c r="H31" s="72"/>
      <c r="I31" s="68">
        <f>C29+E29+G29+I29+K29+M29+O29+Q29+S29+U29+W29</f>
        <v>2521.33</v>
      </c>
      <c r="J31" s="69"/>
    </row>
    <row r="32" spans="2:30" x14ac:dyDescent="0.3">
      <c r="G32" s="75" t="s">
        <v>57</v>
      </c>
      <c r="H32" s="75"/>
      <c r="I32" s="68">
        <f>+D29+F29+H29+J29+L29+N29+P29+R29+T29+V29+X29</f>
        <v>2997.5899999999997</v>
      </c>
      <c r="J32" s="69"/>
    </row>
    <row r="33" spans="3:17" x14ac:dyDescent="0.3">
      <c r="I33" s="68">
        <f>I32-I31</f>
        <v>476.25999999999976</v>
      </c>
      <c r="J33" s="69"/>
    </row>
    <row r="34" spans="3:17" x14ac:dyDescent="0.3">
      <c r="C34" s="36">
        <f>C29+E29+G29</f>
        <v>620</v>
      </c>
      <c r="D34" s="36">
        <f>D29+F29+H29</f>
        <v>630.79</v>
      </c>
      <c r="E34" s="37">
        <f>D34-C34</f>
        <v>10.789999999999964</v>
      </c>
      <c r="I34" s="38">
        <f>I29+K29+M29</f>
        <v>610</v>
      </c>
      <c r="J34" s="38">
        <f>J29+L29+N29</f>
        <v>372.07</v>
      </c>
      <c r="K34" s="39">
        <f>J34-I34</f>
        <v>-237.93</v>
      </c>
      <c r="O34" s="40">
        <f>O29+Q29+S29</f>
        <v>630</v>
      </c>
      <c r="P34" s="40">
        <f>P29+R29+T29</f>
        <v>338.44000000000005</v>
      </c>
      <c r="Q34" s="41">
        <f>P34-O34</f>
        <v>-291.55999999999995</v>
      </c>
    </row>
    <row r="35" spans="3:17" x14ac:dyDescent="0.3">
      <c r="G35" t="s">
        <v>58</v>
      </c>
      <c r="I35">
        <v>2000</v>
      </c>
    </row>
    <row r="36" spans="3:17" x14ac:dyDescent="0.3">
      <c r="G36" s="42" t="s">
        <v>64</v>
      </c>
      <c r="H36" s="42"/>
      <c r="I36" s="76">
        <f>I35+I33</f>
        <v>2476.2599999999998</v>
      </c>
      <c r="J36" s="76"/>
      <c r="M36" s="33"/>
    </row>
    <row r="40" spans="3:17" x14ac:dyDescent="0.3">
      <c r="C40" s="1">
        <f>C29+E29+G29</f>
        <v>620</v>
      </c>
      <c r="D40" s="1">
        <f>D29+F29+H29</f>
        <v>630.79</v>
      </c>
      <c r="I40" s="1">
        <f>I29+K29+M29</f>
        <v>610</v>
      </c>
      <c r="J40" s="1">
        <f>J29+L29+N29</f>
        <v>372.07</v>
      </c>
      <c r="O40" s="1">
        <f>O29+Q29+S29</f>
        <v>630</v>
      </c>
      <c r="P40" s="1">
        <f>P29+R29+T29</f>
        <v>338.44000000000005</v>
      </c>
    </row>
    <row r="41" spans="3:17" x14ac:dyDescent="0.3">
      <c r="D41" s="1">
        <f>D40-C40</f>
        <v>10.789999999999964</v>
      </c>
      <c r="J41" s="33">
        <f>J40-I40</f>
        <v>-237.93</v>
      </c>
      <c r="P41" s="33">
        <f>P40-O40</f>
        <v>-291.55999999999995</v>
      </c>
    </row>
  </sheetData>
  <mergeCells count="18">
    <mergeCell ref="C2:D2"/>
    <mergeCell ref="E2:F2"/>
    <mergeCell ref="G2:H2"/>
    <mergeCell ref="I2:J2"/>
    <mergeCell ref="K2:L2"/>
    <mergeCell ref="Q2:R2"/>
    <mergeCell ref="S2:T2"/>
    <mergeCell ref="U2:V2"/>
    <mergeCell ref="Y2:Z2"/>
    <mergeCell ref="F31:H31"/>
    <mergeCell ref="I31:J31"/>
    <mergeCell ref="M2:N2"/>
    <mergeCell ref="W2:X2"/>
    <mergeCell ref="G32:H32"/>
    <mergeCell ref="I32:J32"/>
    <mergeCell ref="I33:J33"/>
    <mergeCell ref="I36:J36"/>
    <mergeCell ref="O2:P2"/>
  </mergeCells>
  <pageMargins left="0.25" right="0.25" top="0.75" bottom="0.75" header="0.3" footer="0.3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135C-BECF-4CFA-A80C-B809DB3A8B2C}">
  <sheetPr>
    <pageSetUpPr fitToPage="1"/>
  </sheetPr>
  <dimension ref="B1:AH58"/>
  <sheetViews>
    <sheetView topLeftCell="A17" workbookViewId="0">
      <selection activeCell="Y36" sqref="Y36"/>
    </sheetView>
  </sheetViews>
  <sheetFormatPr defaultRowHeight="14.4" x14ac:dyDescent="0.3"/>
  <cols>
    <col min="1" max="1" width="1.6640625" customWidth="1"/>
    <col min="2" max="2" width="5.6640625" customWidth="1"/>
    <col min="3" max="3" width="7.88671875" customWidth="1"/>
    <col min="4" max="4" width="9.109375" customWidth="1"/>
    <col min="5" max="23" width="7.88671875" customWidth="1"/>
    <col min="24" max="24" width="8.88671875" bestFit="1" customWidth="1"/>
    <col min="25" max="25" width="9.44140625" customWidth="1"/>
    <col min="26" max="26" width="9.6640625" customWidth="1"/>
    <col min="29" max="29" width="10.44140625" bestFit="1" customWidth="1"/>
    <col min="34" max="34" width="11" bestFit="1" customWidth="1"/>
  </cols>
  <sheetData>
    <row r="1" spans="2:34" ht="7.5" customHeight="1" thickBot="1" x14ac:dyDescent="0.35"/>
    <row r="2" spans="2:34" ht="18" x14ac:dyDescent="0.35">
      <c r="C2" s="67" t="s">
        <v>26</v>
      </c>
      <c r="D2" s="67"/>
      <c r="E2" s="77" t="s">
        <v>20</v>
      </c>
      <c r="F2" s="73"/>
      <c r="G2" s="67" t="s">
        <v>23</v>
      </c>
      <c r="H2" s="67"/>
      <c r="I2" s="67" t="s">
        <v>19</v>
      </c>
      <c r="J2" s="67"/>
      <c r="K2" s="67" t="s">
        <v>18</v>
      </c>
      <c r="L2" s="67"/>
      <c r="M2" s="77" t="s">
        <v>22</v>
      </c>
      <c r="N2" s="73"/>
      <c r="O2" s="67" t="s">
        <v>25</v>
      </c>
      <c r="P2" s="67"/>
      <c r="Q2" s="67" t="s">
        <v>21</v>
      </c>
      <c r="R2" s="67"/>
      <c r="S2" s="67" t="s">
        <v>24</v>
      </c>
      <c r="T2" s="67"/>
      <c r="U2" s="67" t="s">
        <v>65</v>
      </c>
      <c r="V2" s="74"/>
      <c r="W2" s="67" t="s">
        <v>66</v>
      </c>
      <c r="X2" s="74"/>
      <c r="Y2" s="73" t="s">
        <v>28</v>
      </c>
      <c r="Z2" s="67"/>
    </row>
    <row r="3" spans="2:34" x14ac:dyDescent="0.3">
      <c r="B3" s="32" t="s">
        <v>29</v>
      </c>
      <c r="C3" s="24" t="s">
        <v>30</v>
      </c>
      <c r="D3" s="25" t="s">
        <v>31</v>
      </c>
      <c r="E3" s="24" t="s">
        <v>30</v>
      </c>
      <c r="F3" s="25" t="s">
        <v>31</v>
      </c>
      <c r="G3" s="24" t="s">
        <v>30</v>
      </c>
      <c r="H3" s="25" t="s">
        <v>31</v>
      </c>
      <c r="I3" s="24" t="s">
        <v>30</v>
      </c>
      <c r="J3" s="25" t="s">
        <v>31</v>
      </c>
      <c r="K3" s="24" t="s">
        <v>30</v>
      </c>
      <c r="L3" s="25" t="s">
        <v>31</v>
      </c>
      <c r="M3" s="24" t="s">
        <v>30</v>
      </c>
      <c r="N3" s="25" t="s">
        <v>31</v>
      </c>
      <c r="O3" s="24" t="s">
        <v>30</v>
      </c>
      <c r="P3" s="25" t="s">
        <v>31</v>
      </c>
      <c r="Q3" s="24" t="s">
        <v>30</v>
      </c>
      <c r="R3" s="25" t="s">
        <v>31</v>
      </c>
      <c r="S3" s="24" t="s">
        <v>30</v>
      </c>
      <c r="T3" s="25" t="s">
        <v>31</v>
      </c>
      <c r="U3" s="24" t="s">
        <v>30</v>
      </c>
      <c r="V3" s="26" t="s">
        <v>31</v>
      </c>
      <c r="W3" s="24" t="s">
        <v>30</v>
      </c>
      <c r="X3" s="26" t="s">
        <v>31</v>
      </c>
      <c r="Y3" s="27" t="s">
        <v>30</v>
      </c>
      <c r="Z3" s="25" t="s">
        <v>31</v>
      </c>
      <c r="AA3" s="27" t="s">
        <v>30</v>
      </c>
      <c r="AB3" s="25" t="s">
        <v>31</v>
      </c>
      <c r="AC3" s="27" t="s">
        <v>83</v>
      </c>
      <c r="AD3" s="25"/>
    </row>
    <row r="4" spans="2:34" x14ac:dyDescent="0.3">
      <c r="B4" s="54" t="s">
        <v>32</v>
      </c>
      <c r="C4" s="12">
        <v>5</v>
      </c>
      <c r="D4" s="13">
        <v>0</v>
      </c>
      <c r="E4" s="14">
        <v>15</v>
      </c>
      <c r="F4" s="13">
        <v>0</v>
      </c>
      <c r="G4" s="14">
        <v>12.5</v>
      </c>
      <c r="H4" s="13">
        <v>0</v>
      </c>
      <c r="I4" s="14">
        <f>5+2.5+2.5</f>
        <v>10</v>
      </c>
      <c r="J4" s="13">
        <v>0</v>
      </c>
      <c r="K4" s="14">
        <v>15</v>
      </c>
      <c r="L4" s="13">
        <v>0</v>
      </c>
      <c r="M4" s="14">
        <v>15</v>
      </c>
      <c r="N4" s="13">
        <v>0</v>
      </c>
      <c r="O4" s="14">
        <v>15</v>
      </c>
      <c r="P4" s="13">
        <v>0</v>
      </c>
      <c r="Q4" s="14">
        <v>15</v>
      </c>
      <c r="R4" s="13">
        <v>0</v>
      </c>
      <c r="S4" s="14">
        <f>5+5+5</f>
        <v>15</v>
      </c>
      <c r="T4" s="13">
        <v>0</v>
      </c>
      <c r="U4" s="12">
        <v>15</v>
      </c>
      <c r="V4" s="19">
        <v>0</v>
      </c>
      <c r="W4" s="12"/>
      <c r="X4" s="19"/>
      <c r="Y4" s="14">
        <f t="shared" ref="Y4:Y25" si="0">U4+S4+Q4+O4+M4+K4+I4+G4+E4+C4</f>
        <v>132.5</v>
      </c>
      <c r="Z4" s="48">
        <f t="shared" ref="Z4:Z25" si="1">V4+T4+R4+P4+N4+L4+J4+H4+F4+D4</f>
        <v>0</v>
      </c>
      <c r="AA4" s="1">
        <f>Y4</f>
        <v>132.5</v>
      </c>
      <c r="AB4" s="1">
        <f>Z4</f>
        <v>0</v>
      </c>
      <c r="AC4" s="1">
        <f>AB4-AA4</f>
        <v>-132.5</v>
      </c>
      <c r="AD4" s="1"/>
    </row>
    <row r="5" spans="2:34" ht="15" thickBot="1" x14ac:dyDescent="0.35">
      <c r="B5" s="52" t="s">
        <v>34</v>
      </c>
      <c r="C5" s="15">
        <f>5+5+10+10</f>
        <v>30</v>
      </c>
      <c r="D5" s="16">
        <v>26.8</v>
      </c>
      <c r="E5" s="17">
        <f>10+10+10</f>
        <v>30</v>
      </c>
      <c r="F5" s="16">
        <v>0</v>
      </c>
      <c r="G5" s="17">
        <v>32.5</v>
      </c>
      <c r="H5" s="16">
        <v>0</v>
      </c>
      <c r="I5" s="17">
        <f>10+5+5+5+3+3+4</f>
        <v>35</v>
      </c>
      <c r="J5" s="16">
        <v>0</v>
      </c>
      <c r="K5" s="17"/>
      <c r="L5" s="16"/>
      <c r="M5" s="17"/>
      <c r="N5" s="16"/>
      <c r="O5" s="17"/>
      <c r="P5" s="16"/>
      <c r="Q5" s="17"/>
      <c r="R5" s="16"/>
      <c r="S5" s="17"/>
      <c r="T5" s="16"/>
      <c r="U5" s="15"/>
      <c r="V5" s="20"/>
      <c r="W5" s="15"/>
      <c r="X5" s="20"/>
      <c r="Y5" s="17">
        <f t="shared" si="0"/>
        <v>127.5</v>
      </c>
      <c r="Z5" s="35">
        <f t="shared" si="1"/>
        <v>26.8</v>
      </c>
      <c r="AA5" s="1">
        <f>AA4+Y5</f>
        <v>260</v>
      </c>
      <c r="AB5" s="1">
        <f>AB4+Z5</f>
        <v>26.8</v>
      </c>
      <c r="AC5" s="1">
        <f t="shared" ref="AC5:AC26" si="2">AB5-AA5</f>
        <v>-233.2</v>
      </c>
      <c r="AD5" s="1"/>
    </row>
    <row r="6" spans="2:34" ht="15" thickBot="1" x14ac:dyDescent="0.35">
      <c r="B6" s="51" t="s">
        <v>35</v>
      </c>
      <c r="C6" s="15"/>
      <c r="D6" s="16"/>
      <c r="E6" s="17"/>
      <c r="F6" s="16"/>
      <c r="G6" s="17"/>
      <c r="H6" s="16"/>
      <c r="I6" s="17"/>
      <c r="J6" s="16"/>
      <c r="K6" s="17">
        <f>10+10+5+0</f>
        <v>25</v>
      </c>
      <c r="L6" s="16">
        <v>0</v>
      </c>
      <c r="M6" s="17">
        <f>10+5+5+5+10</f>
        <v>35</v>
      </c>
      <c r="N6" s="16">
        <v>0</v>
      </c>
      <c r="O6" s="17">
        <f>5+5+10+5+5</f>
        <v>30</v>
      </c>
      <c r="P6" s="16">
        <v>0</v>
      </c>
      <c r="Q6" s="17"/>
      <c r="R6" s="16"/>
      <c r="S6" s="17"/>
      <c r="T6" s="16"/>
      <c r="U6" s="15"/>
      <c r="V6" s="20"/>
      <c r="W6" s="15"/>
      <c r="X6" s="20"/>
      <c r="Y6" s="17">
        <f t="shared" si="0"/>
        <v>90</v>
      </c>
      <c r="Z6" s="35">
        <f t="shared" si="1"/>
        <v>0</v>
      </c>
      <c r="AA6" s="1">
        <f t="shared" ref="AA6:AB21" si="3">AA5+Y6</f>
        <v>350</v>
      </c>
      <c r="AB6" s="1">
        <f t="shared" si="3"/>
        <v>26.8</v>
      </c>
      <c r="AC6" s="1">
        <f t="shared" si="2"/>
        <v>-323.2</v>
      </c>
      <c r="AD6" s="1"/>
      <c r="AE6" s="43" t="s">
        <v>67</v>
      </c>
      <c r="AF6" s="43" t="s">
        <v>68</v>
      </c>
      <c r="AG6" s="43" t="s">
        <v>69</v>
      </c>
      <c r="AH6" s="43" t="s">
        <v>70</v>
      </c>
    </row>
    <row r="7" spans="2:34" ht="15" thickBot="1" x14ac:dyDescent="0.35">
      <c r="B7" s="53" t="s">
        <v>36</v>
      </c>
      <c r="C7" s="15"/>
      <c r="D7" s="16"/>
      <c r="E7" s="17"/>
      <c r="F7" s="16"/>
      <c r="G7" s="17"/>
      <c r="H7" s="16"/>
      <c r="I7" s="17"/>
      <c r="J7" s="16"/>
      <c r="K7" s="17"/>
      <c r="L7" s="16"/>
      <c r="M7" s="17"/>
      <c r="N7" s="16"/>
      <c r="O7" s="17"/>
      <c r="P7" s="16"/>
      <c r="Q7" s="17">
        <v>30</v>
      </c>
      <c r="R7" s="16">
        <v>0</v>
      </c>
      <c r="S7" s="17">
        <f>5+10+5+5+5</f>
        <v>30</v>
      </c>
      <c r="T7" s="16">
        <v>167.5</v>
      </c>
      <c r="U7" s="15">
        <f>5+5+5+1+3+1+3+5</f>
        <v>28</v>
      </c>
      <c r="V7" s="20">
        <v>0</v>
      </c>
      <c r="W7" s="15"/>
      <c r="X7" s="20"/>
      <c r="Y7" s="17">
        <f t="shared" si="0"/>
        <v>88</v>
      </c>
      <c r="Z7" s="35">
        <f t="shared" si="1"/>
        <v>167.5</v>
      </c>
      <c r="AA7" s="1">
        <f t="shared" si="3"/>
        <v>438</v>
      </c>
      <c r="AB7" s="1">
        <f t="shared" si="3"/>
        <v>194.3</v>
      </c>
      <c r="AC7" s="1">
        <f t="shared" si="2"/>
        <v>-243.7</v>
      </c>
      <c r="AD7" s="44" t="s">
        <v>71</v>
      </c>
      <c r="AE7" s="44">
        <f>+G29+'Punters 2021'!Q27+'Punters 2020'!M27+'Punters club'!J6+'Punters 2022'!C29</f>
        <v>1003</v>
      </c>
      <c r="AF7" s="44">
        <f>+H29+'Punters 2021'!R27+'Punters 2020'!N27+'Punters club'!K6+'Punters 2022'!D29</f>
        <v>534</v>
      </c>
      <c r="AG7" s="49">
        <f>+AF7-AE7</f>
        <v>-469</v>
      </c>
      <c r="AH7" s="47">
        <f>(AF7-AE7)/AE7</f>
        <v>-0.46759720837487539</v>
      </c>
    </row>
    <row r="8" spans="2:34" x14ac:dyDescent="0.3">
      <c r="B8" s="52" t="s">
        <v>37</v>
      </c>
      <c r="C8" s="15">
        <f>10+5+5+10+10</f>
        <v>40</v>
      </c>
      <c r="D8" s="16">
        <f>54.19+0.01</f>
        <v>54.199999999999996</v>
      </c>
      <c r="E8" s="17">
        <v>30</v>
      </c>
      <c r="F8" s="16">
        <v>0</v>
      </c>
      <c r="G8" s="17">
        <f>10+10</f>
        <v>20</v>
      </c>
      <c r="H8" s="16">
        <v>0</v>
      </c>
      <c r="I8" s="17">
        <v>23</v>
      </c>
      <c r="J8" s="16">
        <v>0</v>
      </c>
      <c r="K8" s="17"/>
      <c r="L8" s="16"/>
      <c r="M8" s="17"/>
      <c r="N8" s="16"/>
      <c r="O8" s="17"/>
      <c r="P8" s="16"/>
      <c r="Q8" s="17"/>
      <c r="R8" s="16"/>
      <c r="S8" s="17"/>
      <c r="T8" s="16"/>
      <c r="U8" s="15"/>
      <c r="V8" s="20"/>
      <c r="W8" s="15"/>
      <c r="X8" s="20"/>
      <c r="Y8" s="17">
        <f t="shared" si="0"/>
        <v>113</v>
      </c>
      <c r="Z8" s="35">
        <f t="shared" si="1"/>
        <v>54.199999999999996</v>
      </c>
      <c r="AA8" s="1">
        <f t="shared" si="3"/>
        <v>551</v>
      </c>
      <c r="AB8" s="1">
        <f t="shared" si="3"/>
        <v>248.5</v>
      </c>
      <c r="AC8" s="1">
        <f t="shared" si="2"/>
        <v>-302.5</v>
      </c>
      <c r="AD8" s="44" t="s">
        <v>72</v>
      </c>
      <c r="AE8" s="44">
        <f>+E29+'Punters 2021'!I27+'Punters 2020'!G27+'Punters club'!J7+'Punters 2022'!E29</f>
        <v>1163</v>
      </c>
      <c r="AF8" s="44">
        <f>+F29+'Punters 2021'!J27+'Punters 2020'!H27+'Punters club'!K7+'Punters 2022'!F29</f>
        <v>1019.77</v>
      </c>
      <c r="AG8" s="50">
        <f t="shared" ref="AG8:AG16" si="4">+AF8-AE8</f>
        <v>-143.23000000000002</v>
      </c>
      <c r="AH8" s="47">
        <f t="shared" ref="AH8:AH16" si="5">(AF8-AE8)/AE8</f>
        <v>-0.12315563198624249</v>
      </c>
    </row>
    <row r="9" spans="2:34" x14ac:dyDescent="0.3">
      <c r="B9" s="51" t="s">
        <v>38</v>
      </c>
      <c r="C9" s="15"/>
      <c r="D9" s="16"/>
      <c r="E9" s="17"/>
      <c r="F9" s="16"/>
      <c r="G9" s="17"/>
      <c r="H9" s="16"/>
      <c r="I9" s="17">
        <v>5</v>
      </c>
      <c r="J9" s="16">
        <v>0</v>
      </c>
      <c r="K9" s="17">
        <v>30</v>
      </c>
      <c r="L9" s="16">
        <v>0</v>
      </c>
      <c r="M9" s="17">
        <v>30</v>
      </c>
      <c r="N9" s="16">
        <v>0</v>
      </c>
      <c r="O9" s="17">
        <v>30</v>
      </c>
      <c r="P9" s="16">
        <v>0</v>
      </c>
      <c r="Q9" s="17"/>
      <c r="R9" s="16"/>
      <c r="S9" s="17"/>
      <c r="T9" s="16"/>
      <c r="U9" s="15"/>
      <c r="V9" s="20"/>
      <c r="W9" s="15"/>
      <c r="X9" s="20"/>
      <c r="Y9" s="17">
        <f t="shared" si="0"/>
        <v>95</v>
      </c>
      <c r="Z9" s="35">
        <f t="shared" si="1"/>
        <v>0</v>
      </c>
      <c r="AA9" s="1">
        <f t="shared" si="3"/>
        <v>646</v>
      </c>
      <c r="AB9" s="1">
        <f t="shared" si="3"/>
        <v>248.5</v>
      </c>
      <c r="AC9" s="1">
        <f t="shared" si="2"/>
        <v>-397.5</v>
      </c>
      <c r="AD9" s="44" t="s">
        <v>73</v>
      </c>
      <c r="AE9" s="44">
        <f>+I29+'Punters 2021'!K27+'Punters 2020'!E27+'Punters club'!J11+'Punters 2022'!G29</f>
        <v>1136.48</v>
      </c>
      <c r="AF9" s="44">
        <f>+J29+'Punters 2021'!L27+'Punters 2020'!F27+'Punters club'!K11+'Punters 2022'!H29</f>
        <v>961.4</v>
      </c>
      <c r="AG9" s="50">
        <f t="shared" si="4"/>
        <v>-175.08000000000004</v>
      </c>
      <c r="AH9" s="47">
        <f t="shared" si="5"/>
        <v>-0.15405462480641985</v>
      </c>
    </row>
    <row r="10" spans="2:34" ht="15" thickBot="1" x14ac:dyDescent="0.35">
      <c r="B10" s="53" t="s">
        <v>39</v>
      </c>
      <c r="C10" s="15"/>
      <c r="D10" s="16"/>
      <c r="E10" s="17"/>
      <c r="F10" s="16"/>
      <c r="G10" s="17"/>
      <c r="H10" s="16"/>
      <c r="I10" s="17"/>
      <c r="J10" s="16"/>
      <c r="K10" s="17"/>
      <c r="L10" s="16"/>
      <c r="M10" s="17"/>
      <c r="N10" s="16"/>
      <c r="O10" s="17"/>
      <c r="P10" s="16"/>
      <c r="Q10" s="17">
        <v>30</v>
      </c>
      <c r="R10" s="16">
        <v>0</v>
      </c>
      <c r="S10" s="17">
        <v>30</v>
      </c>
      <c r="T10" s="16">
        <v>0</v>
      </c>
      <c r="U10" s="15"/>
      <c r="V10" s="20"/>
      <c r="W10" s="15"/>
      <c r="X10" s="20"/>
      <c r="Y10" s="17">
        <f t="shared" si="0"/>
        <v>60</v>
      </c>
      <c r="Z10" s="35">
        <f t="shared" si="1"/>
        <v>0</v>
      </c>
      <c r="AA10" s="1">
        <f t="shared" si="3"/>
        <v>706</v>
      </c>
      <c r="AB10" s="1">
        <f t="shared" si="3"/>
        <v>248.5</v>
      </c>
      <c r="AC10" s="1">
        <f t="shared" si="2"/>
        <v>-457.5</v>
      </c>
      <c r="AD10" s="44" t="s">
        <v>74</v>
      </c>
      <c r="AE10" s="44">
        <f>+Q29+'Punters 2021'!G27+'Punters 2020'!I27+'Punters club'!J10+'Punters 2022'!I29</f>
        <v>1139.9000000000001</v>
      </c>
      <c r="AF10" s="44">
        <f>+R29+'Punters 2021'!H27+'Punters 2020'!J27+'Punters club'!K10+'Punters 2022'!J29</f>
        <v>1516.4499999999998</v>
      </c>
      <c r="AG10" s="50">
        <f t="shared" si="4"/>
        <v>376.54999999999973</v>
      </c>
      <c r="AH10" s="45">
        <f t="shared" si="5"/>
        <v>0.33033599438547212</v>
      </c>
    </row>
    <row r="11" spans="2:34" ht="15" thickBot="1" x14ac:dyDescent="0.35">
      <c r="B11" s="52" t="s">
        <v>40</v>
      </c>
      <c r="C11" s="15">
        <v>30</v>
      </c>
      <c r="D11" s="16">
        <v>0</v>
      </c>
      <c r="E11" s="17">
        <v>30</v>
      </c>
      <c r="F11" s="16">
        <v>0</v>
      </c>
      <c r="G11" s="17">
        <v>30</v>
      </c>
      <c r="H11" s="16">
        <v>0</v>
      </c>
      <c r="I11" s="17">
        <v>32</v>
      </c>
      <c r="J11" s="16">
        <v>0</v>
      </c>
      <c r="K11" s="17"/>
      <c r="L11" s="16"/>
      <c r="M11" s="17"/>
      <c r="N11" s="16"/>
      <c r="O11" s="17"/>
      <c r="P11" s="16"/>
      <c r="Q11" s="17"/>
      <c r="R11" s="16"/>
      <c r="S11" s="17"/>
      <c r="T11" s="16"/>
      <c r="U11" s="15">
        <v>18</v>
      </c>
      <c r="V11" s="20">
        <v>0</v>
      </c>
      <c r="W11" s="15"/>
      <c r="X11" s="20"/>
      <c r="Y11" s="17">
        <f t="shared" si="0"/>
        <v>140</v>
      </c>
      <c r="Z11" s="35">
        <f t="shared" si="1"/>
        <v>0</v>
      </c>
      <c r="AA11" s="1">
        <f t="shared" si="3"/>
        <v>846</v>
      </c>
      <c r="AB11" s="1">
        <f t="shared" si="3"/>
        <v>248.5</v>
      </c>
      <c r="AC11" s="1">
        <f t="shared" si="2"/>
        <v>-597.5</v>
      </c>
      <c r="AD11" s="44" t="s">
        <v>75</v>
      </c>
      <c r="AE11" s="44">
        <f>+M29+'Punters 2021'!E27+'Punters 2020'!K27+'Punters 2022'!K29</f>
        <v>868</v>
      </c>
      <c r="AF11" s="44">
        <f>+N29+'Punters 2021'!F27+'Punters 2020'!L27+'Punters 2022'!L29</f>
        <v>58.25</v>
      </c>
      <c r="AG11" s="49">
        <f t="shared" si="4"/>
        <v>-809.75</v>
      </c>
      <c r="AH11" s="47">
        <f t="shared" si="5"/>
        <v>-0.93289170506912444</v>
      </c>
    </row>
    <row r="12" spans="2:34" ht="15" thickBot="1" x14ac:dyDescent="0.35">
      <c r="B12" s="51" t="s">
        <v>41</v>
      </c>
      <c r="C12" s="15"/>
      <c r="D12" s="16"/>
      <c r="E12" s="17"/>
      <c r="F12" s="16"/>
      <c r="G12" s="17"/>
      <c r="H12" s="16"/>
      <c r="I12" s="17"/>
      <c r="J12" s="16"/>
      <c r="K12" s="17">
        <v>35</v>
      </c>
      <c r="L12" s="16">
        <v>0</v>
      </c>
      <c r="M12" s="17"/>
      <c r="N12" s="16"/>
      <c r="O12" s="17">
        <v>30</v>
      </c>
      <c r="P12" s="16">
        <v>0</v>
      </c>
      <c r="Q12" s="17"/>
      <c r="R12" s="16"/>
      <c r="S12" s="17"/>
      <c r="T12" s="16"/>
      <c r="U12" s="15"/>
      <c r="V12" s="20"/>
      <c r="W12" s="15"/>
      <c r="X12" s="20"/>
      <c r="Y12" s="17">
        <f t="shared" si="0"/>
        <v>65</v>
      </c>
      <c r="Z12" s="35">
        <f t="shared" si="1"/>
        <v>0</v>
      </c>
      <c r="AA12" s="1">
        <f t="shared" si="3"/>
        <v>911</v>
      </c>
      <c r="AB12" s="1">
        <f t="shared" si="3"/>
        <v>248.5</v>
      </c>
      <c r="AC12" s="1">
        <f t="shared" si="2"/>
        <v>-662.5</v>
      </c>
      <c r="AD12" s="44" t="s">
        <v>76</v>
      </c>
      <c r="AE12" s="44">
        <f>+C29+'Punters 2021'!S27+'Punters 2020'!S27+'Punters club'!J8+'Punters 2022'!M29</f>
        <v>1194.96</v>
      </c>
      <c r="AF12" s="44">
        <f>+D29+'Punters 2021'!T27+'Punters 2020'!T27+'Punters club'!K8+'Punters 2022'!N29</f>
        <v>844.40999999999985</v>
      </c>
      <c r="AG12" s="49">
        <f t="shared" si="4"/>
        <v>-350.55000000000018</v>
      </c>
      <c r="AH12" s="47">
        <f t="shared" si="5"/>
        <v>-0.29335709981924096</v>
      </c>
    </row>
    <row r="13" spans="2:34" ht="15" thickBot="1" x14ac:dyDescent="0.35">
      <c r="B13" s="53" t="s">
        <v>42</v>
      </c>
      <c r="C13" s="15"/>
      <c r="D13" s="16"/>
      <c r="E13" s="17"/>
      <c r="F13" s="16"/>
      <c r="G13" s="17"/>
      <c r="H13" s="16"/>
      <c r="I13" s="17"/>
      <c r="J13" s="16"/>
      <c r="K13" s="17"/>
      <c r="L13" s="16"/>
      <c r="M13" s="17">
        <v>20</v>
      </c>
      <c r="N13" s="16">
        <v>0</v>
      </c>
      <c r="O13" s="17"/>
      <c r="P13" s="16"/>
      <c r="Q13" s="17">
        <v>25.5</v>
      </c>
      <c r="R13" s="16">
        <v>0</v>
      </c>
      <c r="S13" s="17">
        <v>30</v>
      </c>
      <c r="T13" s="16">
        <v>16.14</v>
      </c>
      <c r="U13" s="15"/>
      <c r="V13" s="20"/>
      <c r="W13" s="15"/>
      <c r="X13" s="20"/>
      <c r="Y13" s="17">
        <f t="shared" si="0"/>
        <v>75.5</v>
      </c>
      <c r="Z13" s="35">
        <f t="shared" si="1"/>
        <v>16.14</v>
      </c>
      <c r="AA13" s="1">
        <f t="shared" si="3"/>
        <v>986.5</v>
      </c>
      <c r="AB13" s="1">
        <f t="shared" si="3"/>
        <v>264.64</v>
      </c>
      <c r="AC13" s="1">
        <f t="shared" si="2"/>
        <v>-721.86</v>
      </c>
      <c r="AD13" s="44" t="s">
        <v>77</v>
      </c>
      <c r="AE13" s="44">
        <f>+S29+'Punters 2021'!O27+'Punters 2020'!O27+'Punters club'!J9+'Punters 2022'!O29</f>
        <v>1121.3400000000001</v>
      </c>
      <c r="AF13" s="44">
        <f>+T29+'Punters 2021'!P27+'Punters 2020'!P27+'Punters club'!K9+'Punters 2022'!P29</f>
        <v>498.08</v>
      </c>
      <c r="AG13" s="49">
        <f t="shared" si="4"/>
        <v>-623.26000000000022</v>
      </c>
      <c r="AH13" s="47">
        <f t="shared" si="5"/>
        <v>-0.55581714734157361</v>
      </c>
    </row>
    <row r="14" spans="2:34" ht="15" thickBot="1" x14ac:dyDescent="0.35">
      <c r="B14" s="52" t="s">
        <v>43</v>
      </c>
      <c r="C14" s="15">
        <v>15</v>
      </c>
      <c r="D14" s="16">
        <v>195</v>
      </c>
      <c r="E14" s="17">
        <v>30</v>
      </c>
      <c r="F14" s="16">
        <v>0</v>
      </c>
      <c r="G14" s="17">
        <v>20</v>
      </c>
      <c r="H14" s="16">
        <v>0</v>
      </c>
      <c r="I14" s="17">
        <v>30</v>
      </c>
      <c r="J14" s="16">
        <v>0</v>
      </c>
      <c r="K14" s="17"/>
      <c r="L14" s="16"/>
      <c r="M14" s="17"/>
      <c r="N14" s="16"/>
      <c r="O14" s="17"/>
      <c r="P14" s="16"/>
      <c r="Q14" s="17"/>
      <c r="R14" s="16"/>
      <c r="S14" s="17"/>
      <c r="T14" s="16"/>
      <c r="U14" s="15"/>
      <c r="V14" s="20"/>
      <c r="W14" s="15"/>
      <c r="X14" s="20"/>
      <c r="Y14" s="17">
        <f t="shared" si="0"/>
        <v>95</v>
      </c>
      <c r="Z14" s="35">
        <f t="shared" si="1"/>
        <v>195</v>
      </c>
      <c r="AA14" s="1">
        <f t="shared" si="3"/>
        <v>1081.5</v>
      </c>
      <c r="AB14" s="1">
        <f t="shared" si="3"/>
        <v>459.64</v>
      </c>
      <c r="AC14" s="1">
        <f t="shared" si="2"/>
        <v>-621.86</v>
      </c>
      <c r="AD14" s="44" t="s">
        <v>78</v>
      </c>
      <c r="AE14" s="44">
        <f>+O29+'Punters 2021'!M27+'Punters 2020'!Q27+'Punters club'!J5+'Punters 2022'!Q29</f>
        <v>1123</v>
      </c>
      <c r="AF14" s="44">
        <f>+P29+'Punters 2021'!N27+'Punters 2020'!R27+'Punters club'!K5+'Punters 2022'!R29</f>
        <v>637.47</v>
      </c>
      <c r="AG14" s="49">
        <f t="shared" si="4"/>
        <v>-485.53</v>
      </c>
      <c r="AH14" s="47">
        <f t="shared" si="5"/>
        <v>-0.4323508459483526</v>
      </c>
    </row>
    <row r="15" spans="2:34" ht="15" thickBot="1" x14ac:dyDescent="0.35">
      <c r="B15" s="51" t="s">
        <v>44</v>
      </c>
      <c r="C15" s="15"/>
      <c r="D15" s="16"/>
      <c r="E15" s="17"/>
      <c r="F15" s="16"/>
      <c r="G15" s="17"/>
      <c r="H15" s="16"/>
      <c r="I15" s="17"/>
      <c r="J15" s="16"/>
      <c r="K15" s="17">
        <v>30</v>
      </c>
      <c r="L15" s="16">
        <v>0</v>
      </c>
      <c r="M15" s="17">
        <v>10</v>
      </c>
      <c r="N15" s="16">
        <v>0</v>
      </c>
      <c r="O15" s="17">
        <v>30</v>
      </c>
      <c r="P15" s="16">
        <v>0</v>
      </c>
      <c r="Q15" s="17"/>
      <c r="R15" s="16"/>
      <c r="S15" s="17"/>
      <c r="T15" s="16"/>
      <c r="U15" s="15"/>
      <c r="V15" s="20"/>
      <c r="W15" s="15"/>
      <c r="X15" s="20"/>
      <c r="Y15" s="17">
        <f t="shared" si="0"/>
        <v>70</v>
      </c>
      <c r="Z15" s="35">
        <f t="shared" si="1"/>
        <v>0</v>
      </c>
      <c r="AA15" s="1">
        <f t="shared" si="3"/>
        <v>1151.5</v>
      </c>
      <c r="AB15" s="1">
        <f t="shared" si="3"/>
        <v>459.64</v>
      </c>
      <c r="AC15" s="1">
        <f t="shared" si="2"/>
        <v>-691.86</v>
      </c>
      <c r="AD15" s="44" t="s">
        <v>79</v>
      </c>
      <c r="AE15" s="44">
        <f>+K29+'Punters 2021'!C27+'Punters 2020'!C27+'Punters club'!J4+'Punters 2022'!S29</f>
        <v>1132.7</v>
      </c>
      <c r="AF15" s="44">
        <f>+L29+'Punters 2021'!D27+'Punters 2020'!D27+'Punters club'!K4+'Punters 2022'!T29</f>
        <v>1461.09</v>
      </c>
      <c r="AG15" s="50">
        <f t="shared" si="4"/>
        <v>328.38999999999987</v>
      </c>
      <c r="AH15" s="45">
        <f t="shared" si="5"/>
        <v>0.28991789529442913</v>
      </c>
    </row>
    <row r="16" spans="2:34" ht="15" thickBot="1" x14ac:dyDescent="0.35">
      <c r="B16" s="53" t="s">
        <v>45</v>
      </c>
      <c r="C16" s="15"/>
      <c r="D16" s="16"/>
      <c r="E16" s="17"/>
      <c r="F16" s="16"/>
      <c r="G16" s="17"/>
      <c r="H16" s="16"/>
      <c r="I16" s="17"/>
      <c r="J16" s="16"/>
      <c r="K16" s="17"/>
      <c r="L16" s="16"/>
      <c r="M16" s="17"/>
      <c r="N16" s="16"/>
      <c r="O16" s="17"/>
      <c r="P16" s="16"/>
      <c r="Q16" s="17">
        <v>30</v>
      </c>
      <c r="R16" s="16">
        <v>0</v>
      </c>
      <c r="S16" s="17">
        <v>30</v>
      </c>
      <c r="T16" s="16">
        <v>0</v>
      </c>
      <c r="U16" s="15">
        <v>19</v>
      </c>
      <c r="V16" s="20">
        <v>0</v>
      </c>
      <c r="W16" s="15"/>
      <c r="X16" s="20"/>
      <c r="Y16" s="17">
        <f t="shared" si="0"/>
        <v>79</v>
      </c>
      <c r="Z16" s="35">
        <f t="shared" si="1"/>
        <v>0</v>
      </c>
      <c r="AA16" s="1">
        <f t="shared" si="3"/>
        <v>1230.5</v>
      </c>
      <c r="AB16" s="1">
        <f t="shared" si="3"/>
        <v>459.64</v>
      </c>
      <c r="AC16" s="1">
        <f t="shared" si="2"/>
        <v>-770.86</v>
      </c>
      <c r="AD16" s="44" t="s">
        <v>80</v>
      </c>
      <c r="AE16" s="44">
        <f>+U29+'Punters 2022'!U29</f>
        <v>427</v>
      </c>
      <c r="AF16" s="44">
        <f>+V29+'Punters 2022'!V29</f>
        <v>151.25</v>
      </c>
      <c r="AG16" s="49">
        <f t="shared" si="4"/>
        <v>-275.75</v>
      </c>
      <c r="AH16" s="47">
        <f t="shared" si="5"/>
        <v>-0.64578454332552693</v>
      </c>
    </row>
    <row r="17" spans="2:30" ht="15" thickBot="1" x14ac:dyDescent="0.35">
      <c r="B17" s="52" t="s">
        <v>46</v>
      </c>
      <c r="C17" s="15">
        <v>30</v>
      </c>
      <c r="D17" s="16">
        <v>0</v>
      </c>
      <c r="E17" s="17">
        <v>30</v>
      </c>
      <c r="F17" s="16">
        <v>0</v>
      </c>
      <c r="G17" s="17">
        <v>20</v>
      </c>
      <c r="H17" s="16">
        <v>0</v>
      </c>
      <c r="I17" s="17">
        <v>30</v>
      </c>
      <c r="J17" s="16">
        <v>0</v>
      </c>
      <c r="K17" s="17"/>
      <c r="L17" s="16"/>
      <c r="M17" s="17"/>
      <c r="N17" s="16"/>
      <c r="O17" s="17"/>
      <c r="P17" s="16"/>
      <c r="Q17" s="17"/>
      <c r="R17" s="16"/>
      <c r="S17" s="17"/>
      <c r="T17" s="16"/>
      <c r="U17" s="15">
        <v>22</v>
      </c>
      <c r="V17" s="20">
        <v>0</v>
      </c>
      <c r="W17" s="15"/>
      <c r="X17" s="20"/>
      <c r="Y17" s="17">
        <f t="shared" si="0"/>
        <v>132</v>
      </c>
      <c r="Z17" s="35">
        <f t="shared" si="1"/>
        <v>0</v>
      </c>
      <c r="AA17" s="1">
        <f t="shared" si="3"/>
        <v>1362.5</v>
      </c>
      <c r="AB17" s="1">
        <f t="shared" si="3"/>
        <v>459.64</v>
      </c>
      <c r="AC17" s="1">
        <f t="shared" si="2"/>
        <v>-902.86</v>
      </c>
      <c r="AD17" s="1"/>
    </row>
    <row r="18" spans="2:30" ht="15" thickBot="1" x14ac:dyDescent="0.35">
      <c r="B18" s="51" t="s">
        <v>47</v>
      </c>
      <c r="C18" s="15"/>
      <c r="D18" s="16"/>
      <c r="E18" s="17"/>
      <c r="F18" s="16"/>
      <c r="G18" s="17"/>
      <c r="H18" s="16"/>
      <c r="I18" s="17"/>
      <c r="J18" s="16"/>
      <c r="K18" s="17">
        <v>30</v>
      </c>
      <c r="L18" s="16">
        <v>0</v>
      </c>
      <c r="M18" s="17">
        <v>30</v>
      </c>
      <c r="N18" s="16">
        <v>0</v>
      </c>
      <c r="O18" s="17">
        <v>30</v>
      </c>
      <c r="P18" s="16">
        <v>0</v>
      </c>
      <c r="Q18" s="17"/>
      <c r="R18" s="16"/>
      <c r="S18" s="17"/>
      <c r="T18" s="16"/>
      <c r="U18" s="15"/>
      <c r="V18" s="20"/>
      <c r="W18" s="15"/>
      <c r="X18" s="20"/>
      <c r="Y18" s="17">
        <f t="shared" si="0"/>
        <v>90</v>
      </c>
      <c r="Z18" s="35">
        <f t="shared" si="1"/>
        <v>0</v>
      </c>
      <c r="AA18" s="1">
        <f t="shared" si="3"/>
        <v>1452.5</v>
      </c>
      <c r="AB18" s="1">
        <f t="shared" si="3"/>
        <v>459.64</v>
      </c>
      <c r="AC18" s="1">
        <f t="shared" si="2"/>
        <v>-992.86</v>
      </c>
      <c r="AD18" s="1"/>
    </row>
    <row r="19" spans="2:30" ht="15" thickBot="1" x14ac:dyDescent="0.35">
      <c r="B19" s="53" t="s">
        <v>48</v>
      </c>
      <c r="C19" s="15"/>
      <c r="D19" s="16"/>
      <c r="E19" s="17"/>
      <c r="F19" s="16"/>
      <c r="G19" s="17"/>
      <c r="H19" s="16"/>
      <c r="I19" s="17"/>
      <c r="J19" s="16"/>
      <c r="K19" s="17"/>
      <c r="L19" s="16"/>
      <c r="M19" s="17"/>
      <c r="N19" s="16"/>
      <c r="O19" s="17"/>
      <c r="P19" s="16"/>
      <c r="Q19" s="17">
        <v>30</v>
      </c>
      <c r="R19" s="16">
        <v>0</v>
      </c>
      <c r="S19" s="17">
        <v>30</v>
      </c>
      <c r="T19" s="16">
        <v>63.39</v>
      </c>
      <c r="U19" s="15">
        <f>5+5+5</f>
        <v>15</v>
      </c>
      <c r="V19" s="20">
        <v>0</v>
      </c>
      <c r="W19" s="15"/>
      <c r="X19" s="20"/>
      <c r="Y19" s="17">
        <f t="shared" si="0"/>
        <v>75</v>
      </c>
      <c r="Z19" s="35">
        <f t="shared" si="1"/>
        <v>63.39</v>
      </c>
      <c r="AA19" s="1">
        <f t="shared" si="3"/>
        <v>1527.5</v>
      </c>
      <c r="AB19" s="1">
        <f t="shared" si="3"/>
        <v>523.03</v>
      </c>
      <c r="AC19" s="1">
        <f t="shared" si="2"/>
        <v>-1004.47</v>
      </c>
      <c r="AD19" s="1"/>
    </row>
    <row r="20" spans="2:30" ht="15" thickBot="1" x14ac:dyDescent="0.35">
      <c r="B20" s="52" t="s">
        <v>49</v>
      </c>
      <c r="C20" s="15">
        <v>30</v>
      </c>
      <c r="D20" s="16">
        <v>0</v>
      </c>
      <c r="E20" s="17">
        <v>30</v>
      </c>
      <c r="F20" s="16">
        <v>0</v>
      </c>
      <c r="G20" s="17">
        <v>30</v>
      </c>
      <c r="H20" s="16">
        <v>0</v>
      </c>
      <c r="I20" s="17">
        <v>30</v>
      </c>
      <c r="J20" s="16">
        <v>0</v>
      </c>
      <c r="K20" s="17"/>
      <c r="L20" s="16"/>
      <c r="M20" s="17"/>
      <c r="N20" s="16"/>
      <c r="O20" s="17"/>
      <c r="P20" s="16"/>
      <c r="Q20" s="17"/>
      <c r="R20" s="16"/>
      <c r="S20" s="17"/>
      <c r="T20" s="16"/>
      <c r="U20" s="15"/>
      <c r="V20" s="20"/>
      <c r="W20" s="15"/>
      <c r="X20" s="20"/>
      <c r="Y20" s="17">
        <f t="shared" si="0"/>
        <v>120</v>
      </c>
      <c r="Z20" s="35">
        <f t="shared" si="1"/>
        <v>0</v>
      </c>
      <c r="AA20" s="1">
        <f t="shared" si="3"/>
        <v>1647.5</v>
      </c>
      <c r="AB20" s="1">
        <f t="shared" si="3"/>
        <v>523.03</v>
      </c>
      <c r="AC20" s="1">
        <f t="shared" si="2"/>
        <v>-1124.47</v>
      </c>
      <c r="AD20" s="1"/>
    </row>
    <row r="21" spans="2:30" ht="15" thickBot="1" x14ac:dyDescent="0.35">
      <c r="B21" s="51" t="s">
        <v>50</v>
      </c>
      <c r="C21" s="15"/>
      <c r="D21" s="16"/>
      <c r="E21" s="17"/>
      <c r="F21" s="16"/>
      <c r="G21" s="17">
        <v>20</v>
      </c>
      <c r="H21" s="16">
        <v>0</v>
      </c>
      <c r="I21" s="17"/>
      <c r="J21" s="16"/>
      <c r="K21" s="17">
        <v>30</v>
      </c>
      <c r="L21" s="16">
        <v>0</v>
      </c>
      <c r="M21" s="17">
        <v>10</v>
      </c>
      <c r="N21" s="16">
        <v>0</v>
      </c>
      <c r="O21" s="17">
        <v>30</v>
      </c>
      <c r="P21" s="16">
        <v>0</v>
      </c>
      <c r="Q21" s="17"/>
      <c r="R21" s="16"/>
      <c r="S21" s="17"/>
      <c r="T21" s="16"/>
      <c r="U21" s="15"/>
      <c r="V21" s="20"/>
      <c r="W21" s="15"/>
      <c r="X21" s="20"/>
      <c r="Y21" s="17">
        <f t="shared" si="0"/>
        <v>90</v>
      </c>
      <c r="Z21" s="35">
        <f t="shared" si="1"/>
        <v>0</v>
      </c>
      <c r="AA21" s="1">
        <f t="shared" si="3"/>
        <v>1737.5</v>
      </c>
      <c r="AB21" s="1">
        <f t="shared" si="3"/>
        <v>523.03</v>
      </c>
      <c r="AC21" s="1">
        <f t="shared" si="2"/>
        <v>-1214.47</v>
      </c>
      <c r="AD21" s="1"/>
    </row>
    <row r="22" spans="2:30" ht="15" thickBot="1" x14ac:dyDescent="0.35">
      <c r="B22" s="53" t="s">
        <v>59</v>
      </c>
      <c r="C22" s="15"/>
      <c r="D22" s="16"/>
      <c r="E22" s="17"/>
      <c r="F22" s="16"/>
      <c r="G22" s="17"/>
      <c r="H22" s="16"/>
      <c r="I22" s="17"/>
      <c r="J22" s="16"/>
      <c r="K22" s="17"/>
      <c r="L22" s="16"/>
      <c r="M22" s="17"/>
      <c r="N22" s="16"/>
      <c r="O22" s="17"/>
      <c r="P22" s="16"/>
      <c r="Q22" s="17">
        <v>34.5</v>
      </c>
      <c r="R22" s="16">
        <v>30</v>
      </c>
      <c r="S22" s="17">
        <v>30</v>
      </c>
      <c r="T22" s="16">
        <v>0</v>
      </c>
      <c r="U22" s="15">
        <f>30+20</f>
        <v>50</v>
      </c>
      <c r="V22" s="20">
        <v>25</v>
      </c>
      <c r="W22" s="15"/>
      <c r="X22" s="20"/>
      <c r="Y22" s="17">
        <f t="shared" si="0"/>
        <v>114.5</v>
      </c>
      <c r="Z22" s="16">
        <f t="shared" si="1"/>
        <v>55</v>
      </c>
      <c r="AA22" s="1">
        <f t="shared" ref="AA22:AB26" si="6">AA21+Y22</f>
        <v>1852</v>
      </c>
      <c r="AB22" s="1">
        <f t="shared" si="6"/>
        <v>578.03</v>
      </c>
      <c r="AC22" s="1">
        <f t="shared" si="2"/>
        <v>-1273.97</v>
      </c>
      <c r="AD22" s="1"/>
    </row>
    <row r="23" spans="2:30" ht="15" thickBot="1" x14ac:dyDescent="0.35">
      <c r="B23" s="52" t="s">
        <v>60</v>
      </c>
      <c r="C23" s="15">
        <f>10+5+5+10</f>
        <v>30</v>
      </c>
      <c r="D23" s="16">
        <v>0</v>
      </c>
      <c r="E23" s="17">
        <v>30</v>
      </c>
      <c r="F23" s="16">
        <v>0</v>
      </c>
      <c r="G23" s="17">
        <f>10+10+10</f>
        <v>30</v>
      </c>
      <c r="H23" s="16">
        <v>0</v>
      </c>
      <c r="I23" s="17">
        <f>10+5+5+5</f>
        <v>25</v>
      </c>
      <c r="J23" s="16">
        <v>0</v>
      </c>
      <c r="K23" s="17"/>
      <c r="L23" s="16"/>
      <c r="M23" s="17"/>
      <c r="N23" s="16"/>
      <c r="O23" s="17"/>
      <c r="P23" s="16"/>
      <c r="Q23" s="17"/>
      <c r="R23" s="16"/>
      <c r="S23" s="17"/>
      <c r="T23" s="16"/>
      <c r="U23" s="15"/>
      <c r="V23" s="20"/>
      <c r="W23" s="15"/>
      <c r="X23" s="20"/>
      <c r="Y23" s="17">
        <f t="shared" si="0"/>
        <v>115</v>
      </c>
      <c r="Z23" s="16">
        <f t="shared" si="1"/>
        <v>0</v>
      </c>
      <c r="AA23" s="1">
        <f t="shared" si="6"/>
        <v>1967</v>
      </c>
      <c r="AB23" s="1">
        <f t="shared" si="6"/>
        <v>578.03</v>
      </c>
      <c r="AC23" s="1">
        <f t="shared" si="2"/>
        <v>-1388.97</v>
      </c>
      <c r="AD23" s="1"/>
    </row>
    <row r="24" spans="2:30" ht="15" thickBot="1" x14ac:dyDescent="0.35">
      <c r="B24" s="51" t="s">
        <v>61</v>
      </c>
      <c r="C24" s="15"/>
      <c r="D24" s="16"/>
      <c r="E24" s="17"/>
      <c r="F24" s="16"/>
      <c r="G24" s="17"/>
      <c r="H24" s="16"/>
      <c r="I24" s="17"/>
      <c r="J24" s="16"/>
      <c r="K24" s="17">
        <v>30</v>
      </c>
      <c r="L24" s="16">
        <v>0</v>
      </c>
      <c r="M24" s="17">
        <f>5+10+10+10</f>
        <v>35</v>
      </c>
      <c r="N24" s="16">
        <v>0</v>
      </c>
      <c r="O24" s="17">
        <v>30</v>
      </c>
      <c r="P24" s="16">
        <v>0</v>
      </c>
      <c r="Q24" s="17"/>
      <c r="R24" s="16"/>
      <c r="S24" s="17"/>
      <c r="T24" s="16"/>
      <c r="U24" s="15"/>
      <c r="V24" s="20"/>
      <c r="W24" s="15"/>
      <c r="X24" s="20"/>
      <c r="Y24" s="17">
        <f t="shared" si="0"/>
        <v>95</v>
      </c>
      <c r="Z24" s="16">
        <f t="shared" si="1"/>
        <v>0</v>
      </c>
      <c r="AA24" s="1">
        <f t="shared" si="6"/>
        <v>2062</v>
      </c>
      <c r="AB24" s="1">
        <f t="shared" si="6"/>
        <v>578.03</v>
      </c>
      <c r="AC24" s="1">
        <f t="shared" si="2"/>
        <v>-1483.97</v>
      </c>
      <c r="AD24" s="1"/>
    </row>
    <row r="25" spans="2:30" ht="15" thickBot="1" x14ac:dyDescent="0.35">
      <c r="B25" s="53" t="s">
        <v>62</v>
      </c>
      <c r="C25" s="15"/>
      <c r="D25" s="16"/>
      <c r="E25" s="17"/>
      <c r="F25" s="16"/>
      <c r="G25" s="17"/>
      <c r="H25" s="16"/>
      <c r="I25" s="17"/>
      <c r="J25" s="16"/>
      <c r="K25" s="17"/>
      <c r="L25" s="16"/>
      <c r="M25" s="17"/>
      <c r="N25" s="16"/>
      <c r="O25" s="17"/>
      <c r="P25" s="16"/>
      <c r="Q25" s="17">
        <v>30</v>
      </c>
      <c r="R25" s="16">
        <f>0.41+26.14</f>
        <v>26.55</v>
      </c>
      <c r="S25" s="17">
        <v>30</v>
      </c>
      <c r="T25" s="16">
        <v>0</v>
      </c>
      <c r="U25" s="15">
        <f>10+5+5+10+10+5</f>
        <v>45</v>
      </c>
      <c r="V25" s="20">
        <v>40</v>
      </c>
      <c r="W25" s="15"/>
      <c r="X25" s="20"/>
      <c r="Y25" s="17">
        <f t="shared" si="0"/>
        <v>105</v>
      </c>
      <c r="Z25" s="16">
        <f t="shared" si="1"/>
        <v>66.55</v>
      </c>
      <c r="AA25" s="1">
        <f t="shared" si="6"/>
        <v>2167</v>
      </c>
      <c r="AB25" s="1">
        <f t="shared" si="6"/>
        <v>644.57999999999993</v>
      </c>
      <c r="AC25" s="1">
        <f t="shared" si="2"/>
        <v>-1522.42</v>
      </c>
      <c r="AD25" s="1"/>
    </row>
    <row r="26" spans="2:30" x14ac:dyDescent="0.3">
      <c r="B26" s="54" t="s">
        <v>63</v>
      </c>
      <c r="C26" s="15">
        <v>29</v>
      </c>
      <c r="D26" s="16">
        <v>4.08</v>
      </c>
      <c r="E26" s="17">
        <v>15</v>
      </c>
      <c r="F26" s="16">
        <v>0</v>
      </c>
      <c r="G26" s="17"/>
      <c r="H26" s="16"/>
      <c r="I26" s="17">
        <v>10</v>
      </c>
      <c r="J26" s="16">
        <v>0</v>
      </c>
      <c r="K26" s="17">
        <v>15</v>
      </c>
      <c r="L26" s="16">
        <v>0</v>
      </c>
      <c r="M26" s="17">
        <v>30</v>
      </c>
      <c r="N26" s="16">
        <v>0</v>
      </c>
      <c r="O26" s="17">
        <v>15</v>
      </c>
      <c r="P26" s="16">
        <v>0</v>
      </c>
      <c r="Q26" s="17">
        <v>15</v>
      </c>
      <c r="R26" s="16">
        <v>0</v>
      </c>
      <c r="S26" s="17">
        <v>15</v>
      </c>
      <c r="T26" s="16">
        <v>32.799999999999997</v>
      </c>
      <c r="U26" s="15">
        <f>5+5+5</f>
        <v>15</v>
      </c>
      <c r="V26" s="20">
        <v>0</v>
      </c>
      <c r="W26" s="15"/>
      <c r="X26" s="20"/>
      <c r="Y26" s="17">
        <f t="shared" ref="Y26:Z28" si="7">U26+S26+Q26+O26+M26+K26+I26+G26+E26+C26</f>
        <v>159</v>
      </c>
      <c r="Z26" s="16">
        <f t="shared" si="7"/>
        <v>36.879999999999995</v>
      </c>
      <c r="AA26" s="1">
        <f t="shared" si="6"/>
        <v>2326</v>
      </c>
      <c r="AB26" s="1">
        <f t="shared" si="6"/>
        <v>681.45999999999992</v>
      </c>
      <c r="AC26" s="1">
        <f t="shared" si="2"/>
        <v>-1644.54</v>
      </c>
      <c r="AD26" s="1"/>
    </row>
    <row r="27" spans="2:30" x14ac:dyDescent="0.3">
      <c r="B27" s="30" t="s">
        <v>84</v>
      </c>
      <c r="C27" s="15">
        <v>1</v>
      </c>
      <c r="D27" s="16">
        <v>0</v>
      </c>
      <c r="E27" s="17"/>
      <c r="F27" s="16"/>
      <c r="G27" s="17"/>
      <c r="H27" s="16"/>
      <c r="I27" s="17">
        <v>10</v>
      </c>
      <c r="J27" s="16">
        <v>0</v>
      </c>
      <c r="K27" s="17"/>
      <c r="L27" s="16"/>
      <c r="M27" s="17">
        <v>20</v>
      </c>
      <c r="N27" s="16">
        <v>0</v>
      </c>
      <c r="O27" s="17"/>
      <c r="P27" s="16"/>
      <c r="Q27" s="17"/>
      <c r="R27" s="16"/>
      <c r="S27" s="17"/>
      <c r="T27" s="16"/>
      <c r="U27" s="15"/>
      <c r="V27" s="20"/>
      <c r="W27" s="15">
        <v>105.73</v>
      </c>
      <c r="X27" s="20">
        <v>322.79000000000002</v>
      </c>
      <c r="Y27" s="17">
        <f>U27+S27+Q27+O27+M27+K27+I27+G27+E27+C27+W27</f>
        <v>136.73000000000002</v>
      </c>
      <c r="Z27" s="16">
        <f>V27+T27+R27+P27+N27+L27+J27+H27+F27+D27+X27</f>
        <v>322.79000000000002</v>
      </c>
      <c r="AA27" s="1"/>
      <c r="AB27" s="1"/>
      <c r="AC27" s="1"/>
      <c r="AD27" s="1"/>
    </row>
    <row r="28" spans="2:30" x14ac:dyDescent="0.3">
      <c r="B28" s="30" t="s">
        <v>81</v>
      </c>
      <c r="C28" s="15"/>
      <c r="D28" s="16"/>
      <c r="E28" s="17"/>
      <c r="F28" s="16"/>
      <c r="G28" s="17"/>
      <c r="H28" s="16"/>
      <c r="I28" s="17"/>
      <c r="J28" s="16"/>
      <c r="K28" s="17"/>
      <c r="L28" s="16"/>
      <c r="M28" s="17"/>
      <c r="N28" s="16"/>
      <c r="O28" s="17"/>
      <c r="P28" s="16"/>
      <c r="Q28" s="17"/>
      <c r="R28" s="16"/>
      <c r="S28" s="17"/>
      <c r="T28" s="16"/>
      <c r="U28" s="15"/>
      <c r="V28" s="20"/>
      <c r="W28" s="15"/>
      <c r="X28" s="20"/>
      <c r="Y28" s="17">
        <f t="shared" si="7"/>
        <v>0</v>
      </c>
      <c r="Z28" s="16">
        <f>V28+T28+R28+P28+N28+L28+J28+H28+F28+D28+X28</f>
        <v>0</v>
      </c>
      <c r="AA28" s="1"/>
      <c r="AB28" s="1"/>
      <c r="AC28" s="1"/>
      <c r="AD28" s="1"/>
    </row>
    <row r="29" spans="2:30" ht="15" thickBot="1" x14ac:dyDescent="0.35">
      <c r="B29" s="11" t="s">
        <v>55</v>
      </c>
      <c r="C29" s="18">
        <f t="shared" ref="C29:Z29" si="8">SUM(C4:C28)</f>
        <v>240</v>
      </c>
      <c r="D29" s="18">
        <f t="shared" si="8"/>
        <v>280.08</v>
      </c>
      <c r="E29" s="18">
        <f t="shared" si="8"/>
        <v>240</v>
      </c>
      <c r="F29" s="18">
        <f t="shared" si="8"/>
        <v>0</v>
      </c>
      <c r="G29" s="18">
        <f t="shared" si="8"/>
        <v>215</v>
      </c>
      <c r="H29" s="18">
        <f t="shared" si="8"/>
        <v>0</v>
      </c>
      <c r="I29" s="18">
        <f t="shared" si="8"/>
        <v>240</v>
      </c>
      <c r="J29" s="18">
        <f t="shared" si="8"/>
        <v>0</v>
      </c>
      <c r="K29" s="18">
        <f t="shared" si="8"/>
        <v>240</v>
      </c>
      <c r="L29" s="18">
        <f t="shared" si="8"/>
        <v>0</v>
      </c>
      <c r="M29" s="18">
        <f t="shared" si="8"/>
        <v>235</v>
      </c>
      <c r="N29" s="18">
        <f t="shared" si="8"/>
        <v>0</v>
      </c>
      <c r="O29" s="18">
        <f t="shared" si="8"/>
        <v>240</v>
      </c>
      <c r="P29" s="18">
        <f t="shared" si="8"/>
        <v>0</v>
      </c>
      <c r="Q29" s="18">
        <f t="shared" si="8"/>
        <v>240</v>
      </c>
      <c r="R29" s="18">
        <f t="shared" si="8"/>
        <v>56.55</v>
      </c>
      <c r="S29" s="18">
        <f t="shared" si="8"/>
        <v>240</v>
      </c>
      <c r="T29" s="18">
        <f>SUM(T4:T28)</f>
        <v>279.83</v>
      </c>
      <c r="U29" s="18">
        <f t="shared" si="8"/>
        <v>227</v>
      </c>
      <c r="V29" s="21">
        <f t="shared" si="8"/>
        <v>65</v>
      </c>
      <c r="W29" s="18">
        <f t="shared" si="8"/>
        <v>105.73</v>
      </c>
      <c r="X29" s="21">
        <f t="shared" si="8"/>
        <v>322.79000000000002</v>
      </c>
      <c r="Y29" s="29">
        <f t="shared" si="8"/>
        <v>2462.73</v>
      </c>
      <c r="Z29" s="18">
        <f t="shared" si="8"/>
        <v>1004.25</v>
      </c>
    </row>
    <row r="30" spans="2:30" x14ac:dyDescent="0.3">
      <c r="D30" s="56">
        <f>(D29-C29)/C29</f>
        <v>0.16699999999999993</v>
      </c>
      <c r="F30" s="34">
        <f>(F29-E29)/E29</f>
        <v>-1</v>
      </c>
      <c r="H30" s="34">
        <f>(H29-G29)/G29</f>
        <v>-1</v>
      </c>
      <c r="J30" s="34">
        <f>(J29-I29)/I29</f>
        <v>-1</v>
      </c>
      <c r="L30" s="28">
        <f>(L29-K29)/K29</f>
        <v>-1</v>
      </c>
      <c r="N30" s="28">
        <f>(N29-M29)/M29</f>
        <v>-1</v>
      </c>
      <c r="P30" s="28">
        <f>(P29-O29)/O29</f>
        <v>-1</v>
      </c>
      <c r="R30" s="28">
        <f>(R29-Q29)/Q29</f>
        <v>-0.76437499999999992</v>
      </c>
      <c r="T30" s="22">
        <f>(T29-S29)/S29</f>
        <v>0.16595833333333326</v>
      </c>
      <c r="V30" s="28">
        <f>(V29-U29)/U29</f>
        <v>-0.71365638766519823</v>
      </c>
    </row>
    <row r="31" spans="2:30" x14ac:dyDescent="0.3">
      <c r="F31" s="70" t="s">
        <v>56</v>
      </c>
      <c r="G31" s="71"/>
      <c r="H31" s="72"/>
      <c r="I31" s="68">
        <f>C29+E29+G29+I29+K29+M29+O29+Q29+S29+U29+W29</f>
        <v>2462.73</v>
      </c>
      <c r="J31" s="69"/>
    </row>
    <row r="32" spans="2:30" x14ac:dyDescent="0.3">
      <c r="G32" s="75" t="s">
        <v>57</v>
      </c>
      <c r="H32" s="75"/>
      <c r="I32" s="68">
        <f>+D29+F29+H29+J29+L29+N29+P29+R29+T29+V29+X29</f>
        <v>1004.25</v>
      </c>
      <c r="J32" s="69"/>
    </row>
    <row r="33" spans="3:25" x14ac:dyDescent="0.3">
      <c r="I33" s="68">
        <f>I32-I31</f>
        <v>-1458.48</v>
      </c>
      <c r="J33" s="69"/>
      <c r="Y33">
        <f>2167+183+5*10</f>
        <v>2400</v>
      </c>
    </row>
    <row r="34" spans="3:25" x14ac:dyDescent="0.3">
      <c r="C34" s="36">
        <f>C29+E29+G29+I29</f>
        <v>935</v>
      </c>
      <c r="D34" s="36">
        <f>D29+F29+H29+J29</f>
        <v>280.08</v>
      </c>
      <c r="E34" s="37">
        <f>D34-C34</f>
        <v>-654.92000000000007</v>
      </c>
      <c r="I34" s="38">
        <f>O29+K29+M29</f>
        <v>715</v>
      </c>
      <c r="J34" s="38">
        <f>P29+L29+N29</f>
        <v>0</v>
      </c>
      <c r="K34" s="39">
        <f>J34-I34</f>
        <v>-715</v>
      </c>
      <c r="O34" s="40">
        <f>U29+Q29+S29</f>
        <v>707</v>
      </c>
      <c r="P34" s="40">
        <f>V29+R29+T29</f>
        <v>401.38</v>
      </c>
      <c r="Q34" s="41">
        <f>P34-O34</f>
        <v>-305.62</v>
      </c>
      <c r="X34" s="55"/>
      <c r="Y34">
        <f>15*10</f>
        <v>150</v>
      </c>
    </row>
    <row r="35" spans="3:25" x14ac:dyDescent="0.3">
      <c r="C35" s="36"/>
      <c r="D35" s="34">
        <f>(D34-C34)/C34</f>
        <v>-0.7004491978609626</v>
      </c>
      <c r="E35" s="37"/>
      <c r="I35" s="38"/>
      <c r="J35" s="34">
        <f>(J34-I34)/I34</f>
        <v>-1</v>
      </c>
      <c r="K35" s="39"/>
      <c r="O35" s="40"/>
      <c r="P35" s="34">
        <f>(P34-O34)/O34</f>
        <v>-0.43227722772277227</v>
      </c>
      <c r="Q35" s="41"/>
      <c r="X35" s="55"/>
    </row>
    <row r="36" spans="3:25" x14ac:dyDescent="0.3">
      <c r="G36" t="s">
        <v>58</v>
      </c>
      <c r="I36" cm="1">
        <f t="array" ref="I36:J36">2000+'Punters 2022'!I36:J36</f>
        <v>4476.26</v>
      </c>
      <c r="J36">
        <v>2000</v>
      </c>
    </row>
    <row r="37" spans="3:25" x14ac:dyDescent="0.3">
      <c r="G37" t="s">
        <v>85</v>
      </c>
      <c r="J37">
        <f>-269.5*10</f>
        <v>-2695</v>
      </c>
    </row>
    <row r="38" spans="3:25" x14ac:dyDescent="0.3">
      <c r="G38" s="42" t="s">
        <v>64</v>
      </c>
      <c r="H38" s="42"/>
      <c r="I38" s="76">
        <f>I36+I33+J37</f>
        <v>322.7800000000002</v>
      </c>
      <c r="J38" s="76"/>
      <c r="M38" s="33"/>
    </row>
    <row r="40" spans="3:25" x14ac:dyDescent="0.3">
      <c r="C40">
        <v>1</v>
      </c>
      <c r="E40">
        <v>0</v>
      </c>
      <c r="G40">
        <f>10+15</f>
        <v>25</v>
      </c>
      <c r="I40">
        <v>10</v>
      </c>
      <c r="K40">
        <v>0</v>
      </c>
      <c r="M40">
        <v>25</v>
      </c>
      <c r="O40">
        <v>0</v>
      </c>
      <c r="Q40">
        <v>0</v>
      </c>
      <c r="S40">
        <v>0</v>
      </c>
      <c r="U40">
        <v>13</v>
      </c>
      <c r="X40" s="55" t="s">
        <v>86</v>
      </c>
      <c r="Y40">
        <f>30+15+25+20+15+55+15+15+15+28</f>
        <v>233</v>
      </c>
    </row>
    <row r="41" spans="3:25" x14ac:dyDescent="0.3">
      <c r="V41">
        <f>3260-720</f>
        <v>2540</v>
      </c>
    </row>
    <row r="42" spans="3:25" x14ac:dyDescent="0.3">
      <c r="C42" s="1">
        <f>C29+E29+G29+I29</f>
        <v>935</v>
      </c>
      <c r="D42" s="1">
        <f>D29+F29+H29+J29</f>
        <v>280.08</v>
      </c>
      <c r="I42" s="1">
        <f>O29+K29+M29</f>
        <v>715</v>
      </c>
      <c r="J42" s="1">
        <f>P29+L29+N29</f>
        <v>0</v>
      </c>
      <c r="O42" s="1">
        <f>U29+Q29+S29</f>
        <v>707</v>
      </c>
      <c r="P42" s="1">
        <f>V29+R29+T29</f>
        <v>401.38</v>
      </c>
    </row>
    <row r="43" spans="3:25" x14ac:dyDescent="0.3">
      <c r="D43" s="1">
        <f>D42-C42</f>
        <v>-654.92000000000007</v>
      </c>
      <c r="J43" s="33">
        <f>J42-I42</f>
        <v>-715</v>
      </c>
      <c r="P43" s="33">
        <f>P42-O42</f>
        <v>-305.62</v>
      </c>
    </row>
    <row r="45" spans="3:25" x14ac:dyDescent="0.3">
      <c r="V45" t="s">
        <v>87</v>
      </c>
    </row>
    <row r="46" spans="3:25" x14ac:dyDescent="0.3">
      <c r="D46" t="s">
        <v>88</v>
      </c>
      <c r="V46" t="s">
        <v>89</v>
      </c>
      <c r="W46">
        <v>12</v>
      </c>
    </row>
    <row r="47" spans="3:25" x14ac:dyDescent="0.3">
      <c r="D47" t="s">
        <v>90</v>
      </c>
      <c r="E47" t="s">
        <v>91</v>
      </c>
      <c r="V47" t="s">
        <v>12</v>
      </c>
      <c r="W47">
        <v>5</v>
      </c>
    </row>
    <row r="48" spans="3:25" x14ac:dyDescent="0.3">
      <c r="D48" t="s">
        <v>92</v>
      </c>
      <c r="E48" s="1">
        <f>SUM(D29)</f>
        <v>280.08</v>
      </c>
      <c r="V48" t="s">
        <v>93</v>
      </c>
      <c r="W48">
        <v>7</v>
      </c>
    </row>
    <row r="49" spans="4:23" x14ac:dyDescent="0.3">
      <c r="D49" t="s">
        <v>12</v>
      </c>
      <c r="E49" s="1">
        <f>SUM(F29)</f>
        <v>0</v>
      </c>
      <c r="V49" t="s">
        <v>92</v>
      </c>
      <c r="W49">
        <v>4</v>
      </c>
    </row>
    <row r="50" spans="4:23" x14ac:dyDescent="0.3">
      <c r="D50" t="s">
        <v>94</v>
      </c>
      <c r="E50" s="1">
        <f>SUM(R29)</f>
        <v>56.55</v>
      </c>
      <c r="V50" t="s">
        <v>9</v>
      </c>
      <c r="W50">
        <v>4</v>
      </c>
    </row>
    <row r="51" spans="4:23" x14ac:dyDescent="0.3">
      <c r="D51" t="s">
        <v>95</v>
      </c>
      <c r="E51" s="1">
        <f>SUM(H29)</f>
        <v>0</v>
      </c>
      <c r="V51" t="s">
        <v>11</v>
      </c>
      <c r="W51">
        <v>1</v>
      </c>
    </row>
    <row r="52" spans="4:23" x14ac:dyDescent="0.3">
      <c r="D52" t="s">
        <v>93</v>
      </c>
      <c r="E52" s="1">
        <f>SUM(T29)</f>
        <v>279.83</v>
      </c>
      <c r="V52" t="s">
        <v>96</v>
      </c>
      <c r="W52">
        <v>8</v>
      </c>
    </row>
    <row r="53" spans="4:23" x14ac:dyDescent="0.3">
      <c r="D53" t="s">
        <v>97</v>
      </c>
      <c r="E53" s="1">
        <f>SUM(P29)</f>
        <v>0</v>
      </c>
      <c r="V53" t="s">
        <v>98</v>
      </c>
      <c r="W53">
        <v>3</v>
      </c>
    </row>
    <row r="54" spans="4:23" x14ac:dyDescent="0.3">
      <c r="D54" t="s">
        <v>98</v>
      </c>
      <c r="E54" s="1">
        <f>SUM(N29)</f>
        <v>0</v>
      </c>
      <c r="V54" t="s">
        <v>97</v>
      </c>
      <c r="W54">
        <v>6</v>
      </c>
    </row>
    <row r="55" spans="4:23" x14ac:dyDescent="0.3">
      <c r="D55" t="s">
        <v>89</v>
      </c>
      <c r="E55" s="1">
        <f>SUM(V29)</f>
        <v>65</v>
      </c>
      <c r="V55" t="s">
        <v>94</v>
      </c>
      <c r="W55">
        <v>5</v>
      </c>
    </row>
    <row r="56" spans="4:23" x14ac:dyDescent="0.3">
      <c r="D56" t="s">
        <v>96</v>
      </c>
      <c r="E56" s="1">
        <f>SUM(J29)</f>
        <v>0</v>
      </c>
      <c r="W56">
        <f>SUM(W46:W55)</f>
        <v>55</v>
      </c>
    </row>
    <row r="57" spans="4:23" x14ac:dyDescent="0.3">
      <c r="D57" t="s">
        <v>9</v>
      </c>
      <c r="E57" s="1">
        <f>SUM(L29)</f>
        <v>0</v>
      </c>
    </row>
    <row r="58" spans="4:23" x14ac:dyDescent="0.3">
      <c r="D58" t="s">
        <v>99</v>
      </c>
      <c r="E58" s="1">
        <f>SUM(E48:E57)</f>
        <v>681.46</v>
      </c>
    </row>
  </sheetData>
  <mergeCells count="18">
    <mergeCell ref="F31:H31"/>
    <mergeCell ref="I31:J31"/>
    <mergeCell ref="G32:H32"/>
    <mergeCell ref="I32:J32"/>
    <mergeCell ref="I33:J33"/>
    <mergeCell ref="I38:J38"/>
    <mergeCell ref="O2:P2"/>
    <mergeCell ref="Q2:R2"/>
    <mergeCell ref="S2:T2"/>
    <mergeCell ref="U2:V2"/>
    <mergeCell ref="W2:X2"/>
    <mergeCell ref="Y2:Z2"/>
    <mergeCell ref="C2:D2"/>
    <mergeCell ref="E2:F2"/>
    <mergeCell ref="G2:H2"/>
    <mergeCell ref="I2:J2"/>
    <mergeCell ref="K2:L2"/>
    <mergeCell ref="M2:N2"/>
  </mergeCells>
  <pageMargins left="0.25" right="0.25" top="0.75" bottom="0.75" header="0.3" footer="0.3"/>
  <pageSetup paperSize="9"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20FF-5D72-468B-A6CA-F6B5DE3B6E44}">
  <sheetPr>
    <pageSetUpPr fitToPage="1"/>
  </sheetPr>
  <dimension ref="B1:AH58"/>
  <sheetViews>
    <sheetView topLeftCell="P1" workbookViewId="0">
      <selection activeCell="AE7" sqref="AE7"/>
    </sheetView>
  </sheetViews>
  <sheetFormatPr defaultRowHeight="14.4" x14ac:dyDescent="0.3"/>
  <cols>
    <col min="1" max="1" width="1.6640625" customWidth="1"/>
    <col min="2" max="2" width="5.6640625" customWidth="1"/>
    <col min="3" max="3" width="7.88671875" customWidth="1"/>
    <col min="4" max="4" width="9.109375" customWidth="1"/>
    <col min="5" max="7" width="7.88671875" customWidth="1"/>
    <col min="8" max="8" width="8.6640625" customWidth="1"/>
    <col min="9" max="19" width="7.88671875" customWidth="1"/>
    <col min="20" max="20" width="8.5546875" customWidth="1"/>
    <col min="21" max="23" width="7.88671875" customWidth="1"/>
    <col min="24" max="24" width="8.88671875" bestFit="1" customWidth="1"/>
    <col min="25" max="25" width="9.44140625" customWidth="1"/>
    <col min="26" max="26" width="9.6640625" customWidth="1"/>
    <col min="29" max="29" width="10.44140625" bestFit="1" customWidth="1"/>
    <col min="34" max="34" width="11" bestFit="1" customWidth="1"/>
  </cols>
  <sheetData>
    <row r="1" spans="2:34" ht="7.5" customHeight="1" thickBot="1" x14ac:dyDescent="0.35"/>
    <row r="2" spans="2:34" ht="18.600000000000001" thickBot="1" x14ac:dyDescent="0.4">
      <c r="C2" s="67" t="s">
        <v>100</v>
      </c>
      <c r="D2" s="67"/>
      <c r="E2" s="77" t="s">
        <v>101</v>
      </c>
      <c r="F2" s="73"/>
      <c r="G2" s="67" t="s">
        <v>102</v>
      </c>
      <c r="H2" s="67"/>
      <c r="I2" s="67" t="s">
        <v>103</v>
      </c>
      <c r="J2" s="67"/>
      <c r="K2" s="67" t="s">
        <v>104</v>
      </c>
      <c r="L2" s="67"/>
      <c r="M2" s="77" t="s">
        <v>105</v>
      </c>
      <c r="N2" s="73"/>
      <c r="O2" s="67" t="s">
        <v>106</v>
      </c>
      <c r="P2" s="67"/>
      <c r="Q2" s="67" t="s">
        <v>107</v>
      </c>
      <c r="R2" s="67"/>
      <c r="S2" s="67" t="s">
        <v>24</v>
      </c>
      <c r="T2" s="67"/>
      <c r="U2" s="67" t="s">
        <v>108</v>
      </c>
      <c r="V2" s="74"/>
      <c r="W2" s="67" t="s">
        <v>66</v>
      </c>
      <c r="X2" s="74"/>
      <c r="Y2" s="73" t="s">
        <v>28</v>
      </c>
      <c r="Z2" s="67"/>
    </row>
    <row r="3" spans="2:34" ht="15" thickBot="1" x14ac:dyDescent="0.35">
      <c r="B3" s="32" t="s">
        <v>29</v>
      </c>
      <c r="C3" s="24" t="s">
        <v>30</v>
      </c>
      <c r="D3" s="25" t="s">
        <v>31</v>
      </c>
      <c r="E3" s="24" t="s">
        <v>30</v>
      </c>
      <c r="F3" s="25" t="s">
        <v>31</v>
      </c>
      <c r="G3" s="24" t="s">
        <v>30</v>
      </c>
      <c r="H3" s="25" t="s">
        <v>31</v>
      </c>
      <c r="I3" s="24" t="s">
        <v>30</v>
      </c>
      <c r="J3" s="25" t="s">
        <v>31</v>
      </c>
      <c r="K3" s="24" t="s">
        <v>30</v>
      </c>
      <c r="L3" s="25" t="s">
        <v>31</v>
      </c>
      <c r="M3" s="24" t="s">
        <v>30</v>
      </c>
      <c r="N3" s="25" t="s">
        <v>31</v>
      </c>
      <c r="O3" s="24" t="s">
        <v>30</v>
      </c>
      <c r="P3" s="25" t="s">
        <v>31</v>
      </c>
      <c r="Q3" s="24" t="s">
        <v>30</v>
      </c>
      <c r="R3" s="25" t="s">
        <v>31</v>
      </c>
      <c r="S3" s="24" t="s">
        <v>30</v>
      </c>
      <c r="T3" s="25" t="s">
        <v>31</v>
      </c>
      <c r="U3" s="24" t="s">
        <v>30</v>
      </c>
      <c r="V3" s="26" t="s">
        <v>31</v>
      </c>
      <c r="W3" s="24" t="s">
        <v>30</v>
      </c>
      <c r="X3" s="26" t="s">
        <v>31</v>
      </c>
      <c r="Y3" s="27" t="s">
        <v>30</v>
      </c>
      <c r="Z3" s="25" t="s">
        <v>31</v>
      </c>
      <c r="AA3" s="27" t="s">
        <v>30</v>
      </c>
      <c r="AB3" s="25" t="s">
        <v>31</v>
      </c>
      <c r="AC3" s="27" t="s">
        <v>83</v>
      </c>
      <c r="AD3" s="25"/>
    </row>
    <row r="4" spans="2:34" ht="15" thickBot="1" x14ac:dyDescent="0.35">
      <c r="B4" s="54" t="s">
        <v>109</v>
      </c>
      <c r="C4" s="12"/>
      <c r="D4" s="13"/>
      <c r="E4" s="14"/>
      <c r="F4" s="13"/>
      <c r="G4" s="14"/>
      <c r="H4" s="13"/>
      <c r="I4" s="14"/>
      <c r="J4" s="13"/>
      <c r="K4" s="14"/>
      <c r="L4" s="13"/>
      <c r="M4" s="14"/>
      <c r="N4" s="13"/>
      <c r="O4" s="14"/>
      <c r="P4" s="13"/>
      <c r="Q4" s="14"/>
      <c r="R4" s="13"/>
      <c r="S4" s="14"/>
      <c r="T4" s="13"/>
      <c r="U4" s="12"/>
      <c r="V4" s="19"/>
      <c r="W4" s="12"/>
      <c r="X4" s="19"/>
      <c r="Y4" s="14">
        <f t="shared" ref="Y4:Z25" si="0">U4+S4+Q4+O4+M4+K4+I4+G4+E4+C4</f>
        <v>0</v>
      </c>
      <c r="Z4" s="48">
        <f t="shared" si="0"/>
        <v>0</v>
      </c>
      <c r="AA4" s="1">
        <f>Y4</f>
        <v>0</v>
      </c>
      <c r="AB4" s="1">
        <f>Z4</f>
        <v>0</v>
      </c>
      <c r="AC4" s="1">
        <f>AB4-AA4</f>
        <v>0</v>
      </c>
      <c r="AD4" s="1"/>
    </row>
    <row r="5" spans="2:34" ht="15" thickBot="1" x14ac:dyDescent="0.35">
      <c r="B5" s="54" t="s">
        <v>32</v>
      </c>
      <c r="C5" s="15">
        <v>25</v>
      </c>
      <c r="D5" s="16">
        <v>0</v>
      </c>
      <c r="E5" s="17">
        <v>10</v>
      </c>
      <c r="F5" s="16">
        <v>0</v>
      </c>
      <c r="G5" s="17">
        <f>3+5+2+5+5+3</f>
        <v>23</v>
      </c>
      <c r="H5" s="16">
        <v>0</v>
      </c>
      <c r="I5" s="17">
        <v>20</v>
      </c>
      <c r="J5" s="16">
        <v>0</v>
      </c>
      <c r="K5" s="17">
        <v>25</v>
      </c>
      <c r="L5" s="16">
        <v>0</v>
      </c>
      <c r="M5" s="17">
        <v>25</v>
      </c>
      <c r="N5" s="16">
        <v>47.5</v>
      </c>
      <c r="O5" s="17">
        <v>25</v>
      </c>
      <c r="P5" s="16">
        <v>235</v>
      </c>
      <c r="Q5" s="17">
        <v>25</v>
      </c>
      <c r="R5" s="16">
        <v>0</v>
      </c>
      <c r="S5" s="17">
        <v>25</v>
      </c>
      <c r="T5" s="16">
        <v>0</v>
      </c>
      <c r="U5" s="15">
        <v>20</v>
      </c>
      <c r="V5" s="20">
        <v>0</v>
      </c>
      <c r="W5" s="15"/>
      <c r="X5" s="20"/>
      <c r="Y5" s="17">
        <f t="shared" si="0"/>
        <v>223</v>
      </c>
      <c r="Z5" s="35">
        <f t="shared" si="0"/>
        <v>282.5</v>
      </c>
      <c r="AA5" s="1">
        <f>AA4+Y5</f>
        <v>223</v>
      </c>
      <c r="AB5" s="1">
        <f>AB4+Z5</f>
        <v>282.5</v>
      </c>
      <c r="AC5" s="1">
        <f t="shared" ref="AC5:AC26" si="1">AB5-AA5</f>
        <v>59.5</v>
      </c>
      <c r="AD5" s="1"/>
    </row>
    <row r="6" spans="2:34" ht="15" thickBot="1" x14ac:dyDescent="0.35">
      <c r="B6" s="52" t="s">
        <v>34</v>
      </c>
      <c r="C6" s="15">
        <v>25</v>
      </c>
      <c r="D6" s="16">
        <v>0</v>
      </c>
      <c r="E6" s="17">
        <v>40</v>
      </c>
      <c r="F6" s="16">
        <v>0</v>
      </c>
      <c r="G6" s="17">
        <v>25</v>
      </c>
      <c r="H6" s="16">
        <v>0</v>
      </c>
      <c r="I6" s="17">
        <v>30</v>
      </c>
      <c r="J6" s="16">
        <v>0</v>
      </c>
      <c r="K6" s="17"/>
      <c r="L6" s="16"/>
      <c r="M6" s="17"/>
      <c r="N6" s="16"/>
      <c r="O6" s="17"/>
      <c r="P6" s="16"/>
      <c r="Q6" s="17"/>
      <c r="R6" s="16"/>
      <c r="S6" s="17"/>
      <c r="T6" s="16"/>
      <c r="U6" s="15">
        <v>5</v>
      </c>
      <c r="V6" s="20">
        <v>0</v>
      </c>
      <c r="W6" s="15"/>
      <c r="X6" s="20"/>
      <c r="Y6" s="17">
        <f t="shared" si="0"/>
        <v>125</v>
      </c>
      <c r="Z6" s="35">
        <f t="shared" si="0"/>
        <v>0</v>
      </c>
      <c r="AA6" s="1">
        <f t="shared" ref="AA6:AB21" si="2">AA5+Y6</f>
        <v>348</v>
      </c>
      <c r="AB6" s="1">
        <f t="shared" si="2"/>
        <v>282.5</v>
      </c>
      <c r="AC6" s="1">
        <f t="shared" si="1"/>
        <v>-65.5</v>
      </c>
      <c r="AD6" s="1"/>
      <c r="AE6" s="43" t="s">
        <v>67</v>
      </c>
      <c r="AF6" s="43" t="s">
        <v>68</v>
      </c>
      <c r="AG6" s="43" t="s">
        <v>69</v>
      </c>
      <c r="AH6" s="43" t="s">
        <v>70</v>
      </c>
    </row>
    <row r="7" spans="2:34" ht="15" thickBot="1" x14ac:dyDescent="0.35">
      <c r="B7" s="51" t="s">
        <v>35</v>
      </c>
      <c r="C7" s="15"/>
      <c r="D7" s="16"/>
      <c r="E7" s="17"/>
      <c r="F7" s="16"/>
      <c r="G7" s="17"/>
      <c r="H7" s="16"/>
      <c r="I7" s="17"/>
      <c r="J7" s="16"/>
      <c r="K7" s="17">
        <v>25</v>
      </c>
      <c r="L7" s="16">
        <v>0</v>
      </c>
      <c r="M7" s="17">
        <v>30</v>
      </c>
      <c r="N7" s="16">
        <v>0</v>
      </c>
      <c r="O7" s="17">
        <v>25</v>
      </c>
      <c r="P7" s="16">
        <v>0</v>
      </c>
      <c r="Q7" s="17"/>
      <c r="R7" s="16"/>
      <c r="S7" s="17"/>
      <c r="T7" s="16"/>
      <c r="U7" s="15"/>
      <c r="V7" s="20"/>
      <c r="W7" s="15"/>
      <c r="X7" s="20"/>
      <c r="Y7" s="17">
        <f t="shared" si="0"/>
        <v>80</v>
      </c>
      <c r="Z7" s="35">
        <f t="shared" si="0"/>
        <v>0</v>
      </c>
      <c r="AA7" s="1">
        <f t="shared" si="2"/>
        <v>428</v>
      </c>
      <c r="AB7" s="1">
        <f t="shared" si="2"/>
        <v>282.5</v>
      </c>
      <c r="AC7" s="1">
        <f t="shared" si="1"/>
        <v>-145.5</v>
      </c>
      <c r="AD7" s="44" t="s">
        <v>71</v>
      </c>
      <c r="AE7" s="44">
        <f>+E29+'Punters 2023'!AE7</f>
        <v>1208</v>
      </c>
      <c r="AF7" s="44">
        <f>+F29+'Punters 2023'!AF7</f>
        <v>542.6</v>
      </c>
      <c r="AG7" s="49">
        <f>+AF7-AE7</f>
        <v>-665.4</v>
      </c>
      <c r="AH7" s="47">
        <f>(AF7-AE7)/AE7</f>
        <v>-0.55082781456953644</v>
      </c>
    </row>
    <row r="8" spans="2:34" ht="15" thickBot="1" x14ac:dyDescent="0.35">
      <c r="B8" s="53" t="s">
        <v>36</v>
      </c>
      <c r="C8" s="15"/>
      <c r="D8" s="16"/>
      <c r="E8" s="17"/>
      <c r="F8" s="16"/>
      <c r="G8" s="17"/>
      <c r="H8" s="16"/>
      <c r="I8" s="17"/>
      <c r="J8" s="16"/>
      <c r="K8" s="17"/>
      <c r="L8" s="16"/>
      <c r="M8" s="17"/>
      <c r="N8" s="16"/>
      <c r="O8" s="17"/>
      <c r="P8" s="16"/>
      <c r="Q8" s="17">
        <v>30</v>
      </c>
      <c r="R8" s="16">
        <v>0</v>
      </c>
      <c r="S8" s="17">
        <v>30</v>
      </c>
      <c r="T8" s="16">
        <v>0</v>
      </c>
      <c r="U8" s="15">
        <v>10</v>
      </c>
      <c r="V8" s="20">
        <v>0</v>
      </c>
      <c r="W8" s="15"/>
      <c r="X8" s="20"/>
      <c r="Y8" s="17">
        <f t="shared" si="0"/>
        <v>70</v>
      </c>
      <c r="Z8" s="35">
        <f t="shared" si="0"/>
        <v>0</v>
      </c>
      <c r="AA8" s="1">
        <f t="shared" si="2"/>
        <v>498</v>
      </c>
      <c r="AB8" s="1">
        <f t="shared" si="2"/>
        <v>282.5</v>
      </c>
      <c r="AC8" s="1">
        <f t="shared" si="1"/>
        <v>-215.5</v>
      </c>
      <c r="AD8" s="44" t="s">
        <v>72</v>
      </c>
      <c r="AE8" s="44">
        <f>+K29+'Punters 2023'!AE8</f>
        <v>1388</v>
      </c>
      <c r="AF8" s="44">
        <f>+L29+'Punters 2023'!AF8</f>
        <v>1138.52</v>
      </c>
      <c r="AG8" s="50">
        <f t="shared" ref="AG8:AG16" si="3">+AF8-AE8</f>
        <v>-249.48000000000002</v>
      </c>
      <c r="AH8" s="47">
        <f t="shared" ref="AH8:AH16" si="4">(AF8-AE8)/AE8</f>
        <v>-0.17974063400576371</v>
      </c>
    </row>
    <row r="9" spans="2:34" ht="15" thickBot="1" x14ac:dyDescent="0.35">
      <c r="B9" s="52" t="s">
        <v>37</v>
      </c>
      <c r="C9" s="15">
        <v>25</v>
      </c>
      <c r="D9" s="16">
        <v>0</v>
      </c>
      <c r="E9" s="17">
        <v>25</v>
      </c>
      <c r="F9" s="16">
        <v>0</v>
      </c>
      <c r="G9" s="17">
        <v>25</v>
      </c>
      <c r="H9" s="16">
        <v>0</v>
      </c>
      <c r="I9" s="17">
        <v>10</v>
      </c>
      <c r="J9" s="16">
        <v>0</v>
      </c>
      <c r="K9" s="17"/>
      <c r="L9" s="16"/>
      <c r="M9" s="17"/>
      <c r="N9" s="16"/>
      <c r="O9" s="17"/>
      <c r="P9" s="16"/>
      <c r="Q9" s="17"/>
      <c r="R9" s="16"/>
      <c r="S9" s="17"/>
      <c r="T9" s="16"/>
      <c r="U9" s="15"/>
      <c r="V9" s="20"/>
      <c r="W9" s="15"/>
      <c r="X9" s="20"/>
      <c r="Y9" s="17">
        <f t="shared" si="0"/>
        <v>85</v>
      </c>
      <c r="Z9" s="35">
        <f t="shared" si="0"/>
        <v>0</v>
      </c>
      <c r="AA9" s="1">
        <f t="shared" si="2"/>
        <v>583</v>
      </c>
      <c r="AB9" s="1">
        <f t="shared" si="2"/>
        <v>282.5</v>
      </c>
      <c r="AC9" s="1">
        <f t="shared" si="1"/>
        <v>-300.5</v>
      </c>
      <c r="AD9" s="44" t="s">
        <v>73</v>
      </c>
      <c r="AE9" s="44">
        <f>+M29+'Punters 2023'!AE9</f>
        <v>1366.48</v>
      </c>
      <c r="AF9" s="44">
        <f>N29+'Punters 2023'!AF9</f>
        <v>1093.9000000000001</v>
      </c>
      <c r="AG9" s="50">
        <f t="shared" si="3"/>
        <v>-272.57999999999993</v>
      </c>
      <c r="AH9" s="47">
        <f t="shared" si="4"/>
        <v>-0.19947602599379421</v>
      </c>
    </row>
    <row r="10" spans="2:34" ht="15" thickBot="1" x14ac:dyDescent="0.35">
      <c r="B10" s="51" t="s">
        <v>38</v>
      </c>
      <c r="C10" s="15"/>
      <c r="D10" s="16"/>
      <c r="E10" s="17"/>
      <c r="F10" s="16"/>
      <c r="G10" s="17"/>
      <c r="H10" s="16"/>
      <c r="I10" s="17"/>
      <c r="J10" s="16"/>
      <c r="K10" s="17">
        <v>25</v>
      </c>
      <c r="L10" s="16">
        <v>0</v>
      </c>
      <c r="M10" s="17">
        <v>20</v>
      </c>
      <c r="N10" s="16">
        <v>0</v>
      </c>
      <c r="O10" s="17">
        <v>25</v>
      </c>
      <c r="P10" s="16">
        <v>0</v>
      </c>
      <c r="Q10" s="17"/>
      <c r="R10" s="16"/>
      <c r="S10" s="17"/>
      <c r="T10" s="16"/>
      <c r="U10" s="15"/>
      <c r="V10" s="20"/>
      <c r="W10" s="15"/>
      <c r="X10" s="20"/>
      <c r="Y10" s="17">
        <f t="shared" si="0"/>
        <v>70</v>
      </c>
      <c r="Z10" s="35">
        <f t="shared" si="0"/>
        <v>0</v>
      </c>
      <c r="AA10" s="1">
        <f t="shared" si="2"/>
        <v>653</v>
      </c>
      <c r="AB10" s="1">
        <f t="shared" si="2"/>
        <v>282.5</v>
      </c>
      <c r="AC10" s="1">
        <f t="shared" si="1"/>
        <v>-370.5</v>
      </c>
      <c r="AD10" s="44" t="s">
        <v>74</v>
      </c>
      <c r="AE10" s="44">
        <f>+C29+'Punters 2023'!AE10</f>
        <v>1364.9</v>
      </c>
      <c r="AF10" s="44">
        <f>+D29+'Punters 2023'!AF10</f>
        <v>1516.4499999999998</v>
      </c>
      <c r="AG10" s="50">
        <f t="shared" si="3"/>
        <v>151.54999999999973</v>
      </c>
      <c r="AH10" s="45">
        <f t="shared" si="4"/>
        <v>0.11103377536815863</v>
      </c>
    </row>
    <row r="11" spans="2:34" ht="15" thickBot="1" x14ac:dyDescent="0.35">
      <c r="B11" s="53" t="s">
        <v>39</v>
      </c>
      <c r="C11" s="15"/>
      <c r="D11" s="16"/>
      <c r="E11" s="17"/>
      <c r="F11" s="16"/>
      <c r="G11" s="17"/>
      <c r="H11" s="16"/>
      <c r="I11" s="17"/>
      <c r="J11" s="16"/>
      <c r="K11" s="17"/>
      <c r="L11" s="16"/>
      <c r="M11" s="17"/>
      <c r="N11" s="16"/>
      <c r="O11" s="17"/>
      <c r="P11" s="16"/>
      <c r="Q11" s="17">
        <v>25</v>
      </c>
      <c r="R11" s="16">
        <v>0</v>
      </c>
      <c r="S11" s="17">
        <v>22.5</v>
      </c>
      <c r="T11" s="16">
        <v>0</v>
      </c>
      <c r="U11" s="15">
        <v>10</v>
      </c>
      <c r="V11" s="20">
        <v>0</v>
      </c>
      <c r="W11" s="15"/>
      <c r="X11" s="20"/>
      <c r="Y11" s="17">
        <f t="shared" si="0"/>
        <v>57.5</v>
      </c>
      <c r="Z11" s="35">
        <f t="shared" si="0"/>
        <v>0</v>
      </c>
      <c r="AA11" s="1">
        <f t="shared" si="2"/>
        <v>710.5</v>
      </c>
      <c r="AB11" s="1">
        <f t="shared" si="2"/>
        <v>282.5</v>
      </c>
      <c r="AC11" s="1">
        <f t="shared" si="1"/>
        <v>-428</v>
      </c>
      <c r="AD11" s="44" t="s">
        <v>75</v>
      </c>
      <c r="AE11" s="44">
        <f>+I29+'Punters 2023'!AE11</f>
        <v>1073</v>
      </c>
      <c r="AF11" s="44">
        <f>+J29+'Punters 2023'!AF11</f>
        <v>98.25</v>
      </c>
      <c r="AG11" s="49">
        <f t="shared" si="3"/>
        <v>-974.75</v>
      </c>
      <c r="AH11" s="47">
        <f t="shared" si="4"/>
        <v>-0.9084342963653308</v>
      </c>
    </row>
    <row r="12" spans="2:34" ht="15" thickBot="1" x14ac:dyDescent="0.35">
      <c r="B12" s="52" t="s">
        <v>40</v>
      </c>
      <c r="C12" s="15">
        <v>25</v>
      </c>
      <c r="D12" s="16">
        <v>0</v>
      </c>
      <c r="E12" s="17">
        <v>20</v>
      </c>
      <c r="F12" s="16">
        <v>0</v>
      </c>
      <c r="G12" s="17">
        <v>25</v>
      </c>
      <c r="H12" s="16">
        <v>0</v>
      </c>
      <c r="I12" s="17">
        <v>20</v>
      </c>
      <c r="J12" s="16">
        <v>0</v>
      </c>
      <c r="K12" s="17"/>
      <c r="L12" s="16"/>
      <c r="M12" s="17"/>
      <c r="N12" s="16"/>
      <c r="O12" s="17"/>
      <c r="P12" s="16"/>
      <c r="Q12" s="17"/>
      <c r="R12" s="16"/>
      <c r="S12" s="17"/>
      <c r="T12" s="16"/>
      <c r="U12" s="15"/>
      <c r="V12" s="20"/>
      <c r="W12" s="15"/>
      <c r="X12" s="20"/>
      <c r="Y12" s="17">
        <f t="shared" si="0"/>
        <v>90</v>
      </c>
      <c r="Z12" s="35">
        <f t="shared" si="0"/>
        <v>0</v>
      </c>
      <c r="AA12" s="1">
        <f t="shared" si="2"/>
        <v>800.5</v>
      </c>
      <c r="AB12" s="1">
        <f t="shared" si="2"/>
        <v>282.5</v>
      </c>
      <c r="AC12" s="1">
        <f t="shared" si="1"/>
        <v>-518</v>
      </c>
      <c r="AD12" s="44" t="s">
        <v>76</v>
      </c>
      <c r="AE12" s="44">
        <f>+U29+'Punters 2023'!AE12</f>
        <v>1384.96</v>
      </c>
      <c r="AF12" s="44">
        <f>+V29+'Punters 2023'!AF12</f>
        <v>890.65999999999985</v>
      </c>
      <c r="AG12" s="49">
        <f t="shared" si="3"/>
        <v>-494.30000000000018</v>
      </c>
      <c r="AH12" s="47">
        <f t="shared" si="4"/>
        <v>-0.35690561460258791</v>
      </c>
    </row>
    <row r="13" spans="2:34" ht="15" thickBot="1" x14ac:dyDescent="0.35">
      <c r="B13" s="51" t="s">
        <v>41</v>
      </c>
      <c r="C13" s="15"/>
      <c r="D13" s="16"/>
      <c r="E13" s="17"/>
      <c r="F13" s="16"/>
      <c r="G13" s="17"/>
      <c r="H13" s="16"/>
      <c r="I13" s="17"/>
      <c r="J13" s="16"/>
      <c r="K13" s="17">
        <v>25</v>
      </c>
      <c r="L13" s="16">
        <v>0</v>
      </c>
      <c r="M13" s="17">
        <v>25</v>
      </c>
      <c r="N13" s="16">
        <v>0</v>
      </c>
      <c r="O13" s="17">
        <v>25</v>
      </c>
      <c r="P13" s="16">
        <v>0</v>
      </c>
      <c r="Q13" s="17"/>
      <c r="R13" s="16"/>
      <c r="S13" s="17"/>
      <c r="T13" s="16"/>
      <c r="U13" s="15"/>
      <c r="V13" s="20"/>
      <c r="W13" s="15"/>
      <c r="X13" s="20"/>
      <c r="Y13" s="17">
        <f t="shared" si="0"/>
        <v>75</v>
      </c>
      <c r="Z13" s="35">
        <f t="shared" si="0"/>
        <v>0</v>
      </c>
      <c r="AA13" s="1">
        <f t="shared" si="2"/>
        <v>875.5</v>
      </c>
      <c r="AB13" s="1">
        <f t="shared" si="2"/>
        <v>282.5</v>
      </c>
      <c r="AC13" s="1">
        <f t="shared" si="1"/>
        <v>-593</v>
      </c>
      <c r="AD13" s="44" t="s">
        <v>77</v>
      </c>
      <c r="AE13" s="44">
        <f>+S29+'Punters 2023'!AE13</f>
        <v>1346.3400000000001</v>
      </c>
      <c r="AF13" s="44">
        <f>+T29+'Punters 2023'!AF13</f>
        <v>626.24</v>
      </c>
      <c r="AG13" s="49">
        <f t="shared" si="3"/>
        <v>-720.10000000000014</v>
      </c>
      <c r="AH13" s="47">
        <f t="shared" si="4"/>
        <v>-0.5348574654247813</v>
      </c>
    </row>
    <row r="14" spans="2:34" ht="15" thickBot="1" x14ac:dyDescent="0.35">
      <c r="B14" s="53" t="s">
        <v>42</v>
      </c>
      <c r="C14" s="15"/>
      <c r="D14" s="16"/>
      <c r="E14" s="17"/>
      <c r="F14" s="16"/>
      <c r="G14" s="17"/>
      <c r="H14" s="16"/>
      <c r="I14" s="17"/>
      <c r="J14" s="16"/>
      <c r="K14" s="17"/>
      <c r="L14" s="16"/>
      <c r="M14" s="17"/>
      <c r="N14" s="16"/>
      <c r="O14" s="17"/>
      <c r="P14" s="16"/>
      <c r="Q14" s="17">
        <v>25</v>
      </c>
      <c r="R14" s="16">
        <v>0</v>
      </c>
      <c r="S14" s="17">
        <f>10+7.5+5</f>
        <v>22.5</v>
      </c>
      <c r="T14" s="16">
        <v>105</v>
      </c>
      <c r="U14" s="15">
        <v>25</v>
      </c>
      <c r="V14" s="20">
        <v>0</v>
      </c>
      <c r="W14" s="15"/>
      <c r="X14" s="20"/>
      <c r="Y14" s="17">
        <f t="shared" si="0"/>
        <v>72.5</v>
      </c>
      <c r="Z14" s="35">
        <f t="shared" si="0"/>
        <v>105</v>
      </c>
      <c r="AA14" s="1">
        <f t="shared" si="2"/>
        <v>948</v>
      </c>
      <c r="AB14" s="1">
        <f t="shared" si="2"/>
        <v>387.5</v>
      </c>
      <c r="AC14" s="1">
        <f t="shared" si="1"/>
        <v>-560.5</v>
      </c>
      <c r="AD14" s="44" t="s">
        <v>78</v>
      </c>
      <c r="AE14" s="44">
        <f>+Q29+'Punters 2023'!AE14</f>
        <v>1353</v>
      </c>
      <c r="AF14" s="44">
        <f>+R29+'Punters 2023'!AF14</f>
        <v>637.47</v>
      </c>
      <c r="AG14" s="49">
        <f t="shared" si="3"/>
        <v>-715.53</v>
      </c>
      <c r="AH14" s="47">
        <f t="shared" si="4"/>
        <v>-0.52884700665188467</v>
      </c>
    </row>
    <row r="15" spans="2:34" ht="15" thickBot="1" x14ac:dyDescent="0.35">
      <c r="B15" s="52" t="s">
        <v>43</v>
      </c>
      <c r="C15" s="15">
        <v>25</v>
      </c>
      <c r="D15" s="16">
        <v>0</v>
      </c>
      <c r="E15" s="17">
        <v>20</v>
      </c>
      <c r="F15" s="16">
        <v>0</v>
      </c>
      <c r="G15" s="17">
        <v>20</v>
      </c>
      <c r="H15" s="16">
        <v>0</v>
      </c>
      <c r="I15" s="17">
        <v>25</v>
      </c>
      <c r="J15" s="16">
        <v>0</v>
      </c>
      <c r="K15" s="17"/>
      <c r="L15" s="16"/>
      <c r="M15" s="17"/>
      <c r="N15" s="16"/>
      <c r="O15" s="17"/>
      <c r="P15" s="16"/>
      <c r="Q15" s="17"/>
      <c r="R15" s="16"/>
      <c r="S15" s="17"/>
      <c r="T15" s="16"/>
      <c r="U15" s="15"/>
      <c r="V15" s="20"/>
      <c r="W15" s="15"/>
      <c r="X15" s="20"/>
      <c r="Y15" s="17">
        <f t="shared" si="0"/>
        <v>90</v>
      </c>
      <c r="Z15" s="35">
        <f t="shared" si="0"/>
        <v>0</v>
      </c>
      <c r="AA15" s="1">
        <f t="shared" si="2"/>
        <v>1038</v>
      </c>
      <c r="AB15" s="1">
        <f t="shared" si="2"/>
        <v>387.5</v>
      </c>
      <c r="AC15" s="1">
        <f t="shared" si="1"/>
        <v>-650.5</v>
      </c>
      <c r="AD15" s="44" t="s">
        <v>79</v>
      </c>
      <c r="AE15" s="44">
        <f>+O29+'Punters 2023'!AE15</f>
        <v>1362.7</v>
      </c>
      <c r="AF15" s="44">
        <f>+P29+'Punters 2023'!AF15</f>
        <v>1696.09</v>
      </c>
      <c r="AG15" s="50">
        <f t="shared" si="3"/>
        <v>333.38999999999987</v>
      </c>
      <c r="AH15" s="45">
        <f t="shared" si="4"/>
        <v>0.24465399574374394</v>
      </c>
    </row>
    <row r="16" spans="2:34" ht="15" thickBot="1" x14ac:dyDescent="0.35">
      <c r="B16" s="51" t="s">
        <v>44</v>
      </c>
      <c r="C16" s="15"/>
      <c r="D16" s="16"/>
      <c r="E16" s="17"/>
      <c r="F16" s="16"/>
      <c r="G16" s="17"/>
      <c r="H16" s="16"/>
      <c r="I16" s="17"/>
      <c r="J16" s="16"/>
      <c r="K16" s="17">
        <v>25</v>
      </c>
      <c r="L16" s="16">
        <v>0</v>
      </c>
      <c r="M16" s="17">
        <v>25</v>
      </c>
      <c r="N16" s="16">
        <v>85</v>
      </c>
      <c r="O16" s="17">
        <v>25</v>
      </c>
      <c r="P16" s="16">
        <v>0</v>
      </c>
      <c r="Q16" s="17"/>
      <c r="R16" s="16"/>
      <c r="S16" s="17"/>
      <c r="T16" s="16"/>
      <c r="U16" s="15"/>
      <c r="V16" s="20"/>
      <c r="W16" s="15"/>
      <c r="X16" s="20"/>
      <c r="Y16" s="17">
        <f t="shared" si="0"/>
        <v>75</v>
      </c>
      <c r="Z16" s="35">
        <f t="shared" si="0"/>
        <v>85</v>
      </c>
      <c r="AA16" s="1">
        <f t="shared" si="2"/>
        <v>1113</v>
      </c>
      <c r="AB16" s="1">
        <f t="shared" si="2"/>
        <v>472.5</v>
      </c>
      <c r="AC16" s="1">
        <f t="shared" si="1"/>
        <v>-640.5</v>
      </c>
      <c r="AD16" s="44" t="s">
        <v>80</v>
      </c>
      <c r="AE16" s="44">
        <f>+G29+'Punters 2023'!AE16</f>
        <v>620</v>
      </c>
      <c r="AF16" s="44">
        <f>+H29+'Punters 2023'!AF16</f>
        <v>151.25</v>
      </c>
      <c r="AG16" s="49">
        <f t="shared" si="3"/>
        <v>-468.75</v>
      </c>
      <c r="AH16" s="47">
        <f t="shared" si="4"/>
        <v>-0.75604838709677424</v>
      </c>
    </row>
    <row r="17" spans="2:30" ht="15" thickBot="1" x14ac:dyDescent="0.35">
      <c r="B17" s="53" t="s">
        <v>45</v>
      </c>
      <c r="C17" s="15"/>
      <c r="D17" s="16"/>
      <c r="E17" s="17"/>
      <c r="F17" s="16"/>
      <c r="G17" s="17"/>
      <c r="H17" s="16"/>
      <c r="I17" s="17"/>
      <c r="J17" s="16"/>
      <c r="K17" s="17"/>
      <c r="L17" s="16"/>
      <c r="M17" s="17"/>
      <c r="N17" s="16"/>
      <c r="O17" s="17"/>
      <c r="P17" s="16"/>
      <c r="Q17" s="17">
        <v>25</v>
      </c>
      <c r="R17" s="16">
        <v>0</v>
      </c>
      <c r="S17" s="17">
        <v>17.5</v>
      </c>
      <c r="T17" s="16">
        <v>0</v>
      </c>
      <c r="U17" s="15">
        <v>20</v>
      </c>
      <c r="V17" s="20">
        <v>0</v>
      </c>
      <c r="W17" s="15"/>
      <c r="X17" s="20"/>
      <c r="Y17" s="17">
        <f t="shared" si="0"/>
        <v>62.5</v>
      </c>
      <c r="Z17" s="35">
        <f t="shared" si="0"/>
        <v>0</v>
      </c>
      <c r="AA17" s="1">
        <f t="shared" si="2"/>
        <v>1175.5</v>
      </c>
      <c r="AB17" s="1">
        <f t="shared" si="2"/>
        <v>472.5</v>
      </c>
      <c r="AC17" s="1">
        <f t="shared" si="1"/>
        <v>-703</v>
      </c>
      <c r="AD17" s="1"/>
    </row>
    <row r="18" spans="2:30" ht="15" thickBot="1" x14ac:dyDescent="0.35">
      <c r="B18" s="52" t="s">
        <v>46</v>
      </c>
      <c r="C18" s="15">
        <v>25</v>
      </c>
      <c r="D18" s="16">
        <v>0</v>
      </c>
      <c r="E18" s="17">
        <v>20</v>
      </c>
      <c r="F18" s="16">
        <v>0</v>
      </c>
      <c r="G18" s="17">
        <v>25</v>
      </c>
      <c r="H18" s="16">
        <v>0</v>
      </c>
      <c r="I18" s="17">
        <v>25</v>
      </c>
      <c r="J18" s="16">
        <v>0</v>
      </c>
      <c r="K18" s="17"/>
      <c r="L18" s="16"/>
      <c r="M18" s="17"/>
      <c r="N18" s="16"/>
      <c r="O18" s="17"/>
      <c r="P18" s="16"/>
      <c r="Q18" s="17"/>
      <c r="R18" s="16"/>
      <c r="S18" s="17">
        <v>7.5</v>
      </c>
      <c r="T18" s="16">
        <v>0</v>
      </c>
      <c r="U18" s="15"/>
      <c r="V18" s="20"/>
      <c r="W18" s="15"/>
      <c r="X18" s="20"/>
      <c r="Y18" s="17">
        <f t="shared" si="0"/>
        <v>102.5</v>
      </c>
      <c r="Z18" s="35">
        <f t="shared" si="0"/>
        <v>0</v>
      </c>
      <c r="AA18" s="1">
        <f t="shared" si="2"/>
        <v>1278</v>
      </c>
      <c r="AB18" s="1">
        <f t="shared" si="2"/>
        <v>472.5</v>
      </c>
      <c r="AC18" s="1">
        <f t="shared" si="1"/>
        <v>-805.5</v>
      </c>
      <c r="AD18" s="1"/>
    </row>
    <row r="19" spans="2:30" ht="15" thickBot="1" x14ac:dyDescent="0.35">
      <c r="B19" s="51" t="s">
        <v>47</v>
      </c>
      <c r="C19" s="15"/>
      <c r="D19" s="16"/>
      <c r="E19" s="17"/>
      <c r="F19" s="16"/>
      <c r="G19" s="17"/>
      <c r="H19" s="16"/>
      <c r="I19" s="17"/>
      <c r="J19" s="16"/>
      <c r="K19" s="17">
        <v>25</v>
      </c>
      <c r="L19" s="16">
        <v>53.75</v>
      </c>
      <c r="M19" s="17">
        <v>25</v>
      </c>
      <c r="N19" s="16">
        <v>0</v>
      </c>
      <c r="O19" s="17">
        <v>30</v>
      </c>
      <c r="P19" s="16">
        <v>0</v>
      </c>
      <c r="Q19" s="17"/>
      <c r="R19" s="16"/>
      <c r="S19" s="17"/>
      <c r="T19" s="16"/>
      <c r="U19" s="15"/>
      <c r="V19" s="20"/>
      <c r="W19" s="15"/>
      <c r="X19" s="20"/>
      <c r="Y19" s="17">
        <f t="shared" si="0"/>
        <v>80</v>
      </c>
      <c r="Z19" s="35">
        <f t="shared" si="0"/>
        <v>53.75</v>
      </c>
      <c r="AA19" s="1">
        <f t="shared" si="2"/>
        <v>1358</v>
      </c>
      <c r="AB19" s="1">
        <f t="shared" si="2"/>
        <v>526.25</v>
      </c>
      <c r="AC19" s="1">
        <f t="shared" si="1"/>
        <v>-831.75</v>
      </c>
      <c r="AD19" s="1"/>
    </row>
    <row r="20" spans="2:30" ht="15" thickBot="1" x14ac:dyDescent="0.35">
      <c r="B20" s="53" t="s">
        <v>48</v>
      </c>
      <c r="C20" s="15"/>
      <c r="D20" s="16"/>
      <c r="E20" s="17"/>
      <c r="F20" s="16"/>
      <c r="G20" s="17"/>
      <c r="H20" s="16"/>
      <c r="I20" s="17"/>
      <c r="J20" s="16"/>
      <c r="K20" s="17"/>
      <c r="L20" s="16"/>
      <c r="M20" s="17"/>
      <c r="N20" s="16"/>
      <c r="O20" s="17"/>
      <c r="P20" s="16"/>
      <c r="Q20" s="17">
        <v>25</v>
      </c>
      <c r="R20" s="16">
        <v>0</v>
      </c>
      <c r="S20" s="17">
        <v>25</v>
      </c>
      <c r="T20" s="16">
        <v>0</v>
      </c>
      <c r="U20" s="15">
        <v>25</v>
      </c>
      <c r="V20" s="20">
        <v>46.25</v>
      </c>
      <c r="W20" s="15"/>
      <c r="X20" s="20"/>
      <c r="Y20" s="17">
        <f t="shared" si="0"/>
        <v>75</v>
      </c>
      <c r="Z20" s="35">
        <f t="shared" si="0"/>
        <v>46.25</v>
      </c>
      <c r="AA20" s="1">
        <f t="shared" si="2"/>
        <v>1433</v>
      </c>
      <c r="AB20" s="1">
        <f t="shared" si="2"/>
        <v>572.5</v>
      </c>
      <c r="AC20" s="1">
        <f t="shared" si="1"/>
        <v>-860.5</v>
      </c>
      <c r="AD20" s="1"/>
    </row>
    <row r="21" spans="2:30" ht="15" thickBot="1" x14ac:dyDescent="0.35">
      <c r="B21" s="52" t="s">
        <v>49</v>
      </c>
      <c r="C21" s="15">
        <v>25</v>
      </c>
      <c r="D21" s="16">
        <v>0</v>
      </c>
      <c r="E21" s="17">
        <v>25</v>
      </c>
      <c r="F21" s="16">
        <v>0</v>
      </c>
      <c r="G21" s="17"/>
      <c r="H21" s="16"/>
      <c r="I21" s="17">
        <v>25</v>
      </c>
      <c r="J21" s="16">
        <v>0</v>
      </c>
      <c r="K21" s="17"/>
      <c r="L21" s="16"/>
      <c r="M21" s="17"/>
      <c r="N21" s="16"/>
      <c r="O21" s="17"/>
      <c r="P21" s="16"/>
      <c r="Q21" s="17"/>
      <c r="R21" s="16"/>
      <c r="S21" s="17"/>
      <c r="T21" s="16"/>
      <c r="U21" s="15"/>
      <c r="V21" s="20"/>
      <c r="W21" s="15"/>
      <c r="X21" s="20"/>
      <c r="Y21" s="17">
        <f t="shared" si="0"/>
        <v>75</v>
      </c>
      <c r="Z21" s="35">
        <f t="shared" si="0"/>
        <v>0</v>
      </c>
      <c r="AA21" s="1">
        <f t="shared" si="2"/>
        <v>1508</v>
      </c>
      <c r="AB21" s="1">
        <f t="shared" si="2"/>
        <v>572.5</v>
      </c>
      <c r="AC21" s="1">
        <f t="shared" si="1"/>
        <v>-935.5</v>
      </c>
      <c r="AD21" s="1"/>
    </row>
    <row r="22" spans="2:30" ht="15" thickBot="1" x14ac:dyDescent="0.35">
      <c r="B22" s="51" t="s">
        <v>50</v>
      </c>
      <c r="C22" s="15"/>
      <c r="D22" s="16"/>
      <c r="E22" s="17"/>
      <c r="F22" s="16"/>
      <c r="G22" s="17"/>
      <c r="H22" s="16"/>
      <c r="I22" s="17"/>
      <c r="J22" s="16"/>
      <c r="K22" s="17">
        <v>25</v>
      </c>
      <c r="L22" s="16">
        <v>65</v>
      </c>
      <c r="M22" s="17">
        <v>25</v>
      </c>
      <c r="N22" s="16">
        <v>0</v>
      </c>
      <c r="O22" s="17">
        <v>25</v>
      </c>
      <c r="P22" s="16">
        <v>0</v>
      </c>
      <c r="Q22" s="17"/>
      <c r="R22" s="16"/>
      <c r="S22" s="17"/>
      <c r="T22" s="16"/>
      <c r="U22" s="15"/>
      <c r="V22" s="20"/>
      <c r="W22" s="15"/>
      <c r="X22" s="20"/>
      <c r="Y22" s="17">
        <f t="shared" si="0"/>
        <v>75</v>
      </c>
      <c r="Z22" s="16">
        <f t="shared" si="0"/>
        <v>65</v>
      </c>
      <c r="AA22" s="1">
        <f t="shared" ref="AA22:AB26" si="5">AA21+Y22</f>
        <v>1583</v>
      </c>
      <c r="AB22" s="1">
        <f t="shared" si="5"/>
        <v>637.5</v>
      </c>
      <c r="AC22" s="1">
        <f t="shared" si="1"/>
        <v>-945.5</v>
      </c>
      <c r="AD22" s="1"/>
    </row>
    <row r="23" spans="2:30" ht="15" thickBot="1" x14ac:dyDescent="0.35">
      <c r="B23" s="53" t="s">
        <v>59</v>
      </c>
      <c r="C23" s="15"/>
      <c r="D23" s="16"/>
      <c r="E23" s="17"/>
      <c r="F23" s="16"/>
      <c r="G23" s="17"/>
      <c r="H23" s="16"/>
      <c r="I23" s="17"/>
      <c r="J23" s="16"/>
      <c r="K23" s="17"/>
      <c r="L23" s="16"/>
      <c r="M23" s="17"/>
      <c r="N23" s="16"/>
      <c r="O23" s="17"/>
      <c r="P23" s="16"/>
      <c r="Q23" s="17">
        <v>25</v>
      </c>
      <c r="R23" s="16">
        <v>0</v>
      </c>
      <c r="S23" s="17">
        <v>25</v>
      </c>
      <c r="T23" s="16">
        <v>0</v>
      </c>
      <c r="U23" s="15">
        <v>25</v>
      </c>
      <c r="V23" s="20">
        <v>0</v>
      </c>
      <c r="W23" s="15"/>
      <c r="X23" s="20"/>
      <c r="Y23" s="17">
        <f t="shared" si="0"/>
        <v>75</v>
      </c>
      <c r="Z23" s="16">
        <f t="shared" si="0"/>
        <v>0</v>
      </c>
      <c r="AA23" s="1">
        <f t="shared" si="5"/>
        <v>1658</v>
      </c>
      <c r="AB23" s="1">
        <f t="shared" si="5"/>
        <v>637.5</v>
      </c>
      <c r="AC23" s="1">
        <f t="shared" si="1"/>
        <v>-1020.5</v>
      </c>
      <c r="AD23" s="1"/>
    </row>
    <row r="24" spans="2:30" ht="15" thickBot="1" x14ac:dyDescent="0.35">
      <c r="B24" s="52" t="s">
        <v>60</v>
      </c>
      <c r="C24" s="15">
        <v>25</v>
      </c>
      <c r="D24" s="16">
        <v>0</v>
      </c>
      <c r="E24" s="17"/>
      <c r="F24" s="16"/>
      <c r="G24" s="17">
        <v>25</v>
      </c>
      <c r="H24" s="16">
        <v>0</v>
      </c>
      <c r="I24" s="17">
        <v>25</v>
      </c>
      <c r="J24" s="16">
        <v>0</v>
      </c>
      <c r="K24" s="17"/>
      <c r="L24" s="16"/>
      <c r="M24" s="17"/>
      <c r="N24" s="16"/>
      <c r="O24" s="17"/>
      <c r="P24" s="16"/>
      <c r="Q24" s="17"/>
      <c r="R24" s="16"/>
      <c r="S24" s="17"/>
      <c r="T24" s="16"/>
      <c r="U24" s="15"/>
      <c r="V24" s="20"/>
      <c r="W24" s="15"/>
      <c r="X24" s="20"/>
      <c r="Y24" s="17">
        <f t="shared" si="0"/>
        <v>75</v>
      </c>
      <c r="Z24" s="16">
        <f t="shared" si="0"/>
        <v>0</v>
      </c>
      <c r="AA24" s="1">
        <f t="shared" si="5"/>
        <v>1733</v>
      </c>
      <c r="AB24" s="1">
        <f t="shared" si="5"/>
        <v>637.5</v>
      </c>
      <c r="AC24" s="1">
        <f t="shared" si="1"/>
        <v>-1095.5</v>
      </c>
      <c r="AD24" s="1"/>
    </row>
    <row r="25" spans="2:30" ht="15" thickBot="1" x14ac:dyDescent="0.35">
      <c r="B25" s="51" t="s">
        <v>61</v>
      </c>
      <c r="C25" s="15"/>
      <c r="D25" s="16"/>
      <c r="E25" s="17">
        <v>20</v>
      </c>
      <c r="F25" s="16">
        <v>0</v>
      </c>
      <c r="G25" s="17"/>
      <c r="H25" s="16"/>
      <c r="I25" s="17"/>
      <c r="J25" s="16"/>
      <c r="K25" s="17">
        <v>25</v>
      </c>
      <c r="L25" s="16">
        <v>0</v>
      </c>
      <c r="M25" s="17">
        <v>25</v>
      </c>
      <c r="N25" s="16">
        <v>0</v>
      </c>
      <c r="O25" s="17">
        <v>25</v>
      </c>
      <c r="P25" s="16">
        <v>0</v>
      </c>
      <c r="Q25" s="17"/>
      <c r="R25" s="16"/>
      <c r="S25" s="17"/>
      <c r="T25" s="16"/>
      <c r="U25" s="15"/>
      <c r="V25" s="20"/>
      <c r="W25" s="15"/>
      <c r="X25" s="20"/>
      <c r="Y25" s="17">
        <f t="shared" si="0"/>
        <v>95</v>
      </c>
      <c r="Z25" s="16">
        <f t="shared" si="0"/>
        <v>0</v>
      </c>
      <c r="AA25" s="1">
        <f t="shared" si="5"/>
        <v>1828</v>
      </c>
      <c r="AB25" s="1">
        <f t="shared" si="5"/>
        <v>637.5</v>
      </c>
      <c r="AC25" s="1">
        <f t="shared" si="1"/>
        <v>-1190.5</v>
      </c>
      <c r="AD25" s="1"/>
    </row>
    <row r="26" spans="2:30" ht="15" thickBot="1" x14ac:dyDescent="0.35">
      <c r="B26" s="53" t="s">
        <v>62</v>
      </c>
      <c r="C26" s="15"/>
      <c r="D26" s="16"/>
      <c r="E26" s="17"/>
      <c r="F26" s="16"/>
      <c r="G26" s="17"/>
      <c r="H26" s="16"/>
      <c r="I26" s="17"/>
      <c r="J26" s="16"/>
      <c r="K26" s="17"/>
      <c r="L26" s="16"/>
      <c r="M26" s="17"/>
      <c r="N26" s="16"/>
      <c r="O26" s="17"/>
      <c r="P26" s="16"/>
      <c r="Q26" s="17">
        <v>25</v>
      </c>
      <c r="R26" s="16">
        <v>0</v>
      </c>
      <c r="S26" s="17">
        <v>25</v>
      </c>
      <c r="T26" s="16">
        <v>23.16</v>
      </c>
      <c r="U26" s="15">
        <v>25</v>
      </c>
      <c r="V26" s="20">
        <v>0</v>
      </c>
      <c r="W26" s="15"/>
      <c r="X26" s="20"/>
      <c r="Y26" s="17">
        <f t="shared" ref="Y26:Z28" si="6">U26+S26+Q26+O26+M26+K26+I26+G26+E26+C26</f>
        <v>75</v>
      </c>
      <c r="Z26" s="16">
        <f t="shared" si="6"/>
        <v>23.16</v>
      </c>
      <c r="AA26" s="1">
        <f t="shared" si="5"/>
        <v>1903</v>
      </c>
      <c r="AB26" s="1">
        <f t="shared" si="5"/>
        <v>660.66</v>
      </c>
      <c r="AC26" s="1">
        <f t="shared" si="1"/>
        <v>-1242.3400000000001</v>
      </c>
      <c r="AD26" s="1"/>
    </row>
    <row r="27" spans="2:30" ht="15" thickBot="1" x14ac:dyDescent="0.35">
      <c r="B27" s="30" t="s">
        <v>63</v>
      </c>
      <c r="C27" s="15">
        <v>25</v>
      </c>
      <c r="D27" s="16">
        <v>0</v>
      </c>
      <c r="E27" s="17"/>
      <c r="F27" s="16"/>
      <c r="G27" s="17"/>
      <c r="H27" s="16"/>
      <c r="I27" s="17"/>
      <c r="J27" s="16"/>
      <c r="K27" s="17">
        <v>25</v>
      </c>
      <c r="L27" s="16">
        <v>0</v>
      </c>
      <c r="M27" s="17"/>
      <c r="N27" s="16"/>
      <c r="O27" s="17"/>
      <c r="P27" s="16"/>
      <c r="Q27" s="17">
        <v>25</v>
      </c>
      <c r="R27" s="16">
        <v>0</v>
      </c>
      <c r="S27" s="17">
        <v>25</v>
      </c>
      <c r="T27" s="16">
        <v>0</v>
      </c>
      <c r="U27" s="15">
        <v>25</v>
      </c>
      <c r="V27" s="20">
        <v>0</v>
      </c>
      <c r="W27" s="15"/>
      <c r="X27" s="20"/>
      <c r="Y27" s="17">
        <f>U27+S27+Q27+O27+M27+K27+I27+G27+E27+C27+W27</f>
        <v>125</v>
      </c>
      <c r="Z27" s="16">
        <f>V27+T27+R27+P27+N27+L27+J27+H27+F27+D27+X27</f>
        <v>0</v>
      </c>
      <c r="AA27" s="1">
        <f t="shared" ref="AA27" si="7">AA26+Y27</f>
        <v>2028</v>
      </c>
      <c r="AB27" s="1">
        <f t="shared" ref="AB27" si="8">AB26+Z27</f>
        <v>660.66</v>
      </c>
      <c r="AC27" s="1">
        <f t="shared" ref="AC27" si="9">AB27-AA27</f>
        <v>-1367.3400000000001</v>
      </c>
      <c r="AD27" s="1"/>
    </row>
    <row r="28" spans="2:30" ht="15" thickBot="1" x14ac:dyDescent="0.35">
      <c r="B28" s="30" t="s">
        <v>84</v>
      </c>
      <c r="C28" s="15"/>
      <c r="D28" s="16"/>
      <c r="E28" s="17">
        <v>25</v>
      </c>
      <c r="F28" s="16">
        <v>8.6</v>
      </c>
      <c r="G28" s="17">
        <v>25</v>
      </c>
      <c r="H28" s="16">
        <v>0</v>
      </c>
      <c r="I28" s="17">
        <v>25</v>
      </c>
      <c r="J28" s="16">
        <v>40</v>
      </c>
      <c r="K28" s="17"/>
      <c r="L28" s="16"/>
      <c r="M28" s="17">
        <v>30</v>
      </c>
      <c r="N28" s="16">
        <v>0</v>
      </c>
      <c r="O28" s="17">
        <v>25</v>
      </c>
      <c r="P28" s="16">
        <v>0</v>
      </c>
      <c r="Q28" s="17"/>
      <c r="R28" s="16"/>
      <c r="S28" s="17"/>
      <c r="T28" s="16"/>
      <c r="U28" s="15"/>
      <c r="V28" s="20"/>
      <c r="W28" s="15"/>
      <c r="X28" s="20"/>
      <c r="Y28" s="17">
        <f t="shared" si="6"/>
        <v>130</v>
      </c>
      <c r="Z28" s="16">
        <f>V28+T28+R28+P28+N28+L28+J28+H28+F28+D28+X28</f>
        <v>48.6</v>
      </c>
      <c r="AA28" s="1"/>
      <c r="AB28" s="1"/>
      <c r="AC28" s="1"/>
      <c r="AD28" s="1"/>
    </row>
    <row r="29" spans="2:30" ht="15" thickBot="1" x14ac:dyDescent="0.35">
      <c r="B29" s="11" t="s">
        <v>55</v>
      </c>
      <c r="C29" s="18">
        <f t="shared" ref="C29:Z29" si="10">SUM(C4:C28)</f>
        <v>225</v>
      </c>
      <c r="D29" s="18">
        <f t="shared" si="10"/>
        <v>0</v>
      </c>
      <c r="E29" s="18">
        <f t="shared" si="10"/>
        <v>205</v>
      </c>
      <c r="F29" s="18">
        <f t="shared" si="10"/>
        <v>8.6</v>
      </c>
      <c r="G29" s="18">
        <f t="shared" si="10"/>
        <v>193</v>
      </c>
      <c r="H29" s="18">
        <f t="shared" si="10"/>
        <v>0</v>
      </c>
      <c r="I29" s="18">
        <f t="shared" si="10"/>
        <v>205</v>
      </c>
      <c r="J29" s="18">
        <f t="shared" si="10"/>
        <v>40</v>
      </c>
      <c r="K29" s="18">
        <f t="shared" si="10"/>
        <v>225</v>
      </c>
      <c r="L29" s="18">
        <f t="shared" si="10"/>
        <v>118.75</v>
      </c>
      <c r="M29" s="18">
        <f t="shared" si="10"/>
        <v>230</v>
      </c>
      <c r="N29" s="18">
        <f t="shared" si="10"/>
        <v>132.5</v>
      </c>
      <c r="O29" s="18">
        <f t="shared" si="10"/>
        <v>230</v>
      </c>
      <c r="P29" s="18">
        <f t="shared" si="10"/>
        <v>235</v>
      </c>
      <c r="Q29" s="18">
        <f t="shared" si="10"/>
        <v>230</v>
      </c>
      <c r="R29" s="18">
        <f t="shared" si="10"/>
        <v>0</v>
      </c>
      <c r="S29" s="18">
        <f t="shared" si="10"/>
        <v>225</v>
      </c>
      <c r="T29" s="18">
        <f>SUM(T4:T28)</f>
        <v>128.16</v>
      </c>
      <c r="U29" s="18">
        <f t="shared" si="10"/>
        <v>190</v>
      </c>
      <c r="V29" s="21">
        <f t="shared" si="10"/>
        <v>46.25</v>
      </c>
      <c r="W29" s="18">
        <f t="shared" si="10"/>
        <v>0</v>
      </c>
      <c r="X29" s="21">
        <f t="shared" si="10"/>
        <v>0</v>
      </c>
      <c r="Y29" s="29">
        <f t="shared" si="10"/>
        <v>2158</v>
      </c>
      <c r="Z29" s="18">
        <f t="shared" si="10"/>
        <v>709.26</v>
      </c>
      <c r="AA29" s="1"/>
    </row>
    <row r="30" spans="2:30" x14ac:dyDescent="0.3">
      <c r="D30" s="56">
        <f>(D29-C29)/C29</f>
        <v>-1</v>
      </c>
      <c r="F30" s="34">
        <f>(F29-E29)/E29</f>
        <v>-0.95804878048780495</v>
      </c>
      <c r="H30" s="34">
        <f>(H29-G29)/G29</f>
        <v>-1</v>
      </c>
      <c r="J30" s="34">
        <f>(J29-I29)/I29</f>
        <v>-0.80487804878048785</v>
      </c>
      <c r="L30" s="28">
        <f>(L29-K29)/K29</f>
        <v>-0.47222222222222221</v>
      </c>
      <c r="N30" s="28">
        <f>(N29-M29)/M29</f>
        <v>-0.42391304347826086</v>
      </c>
      <c r="P30" s="28">
        <f>(P29-O29)/O29</f>
        <v>2.1739130434782608E-2</v>
      </c>
      <c r="R30" s="28">
        <f>(R29-Q29)/Q29</f>
        <v>-1</v>
      </c>
      <c r="T30" s="22">
        <f>(T29-S29)/S29</f>
        <v>-0.4304</v>
      </c>
      <c r="V30" s="28">
        <f>(V29-U29)/U29</f>
        <v>-0.75657894736842102</v>
      </c>
    </row>
    <row r="31" spans="2:30" x14ac:dyDescent="0.3">
      <c r="F31" s="70" t="s">
        <v>56</v>
      </c>
      <c r="G31" s="71"/>
      <c r="H31" s="72"/>
      <c r="I31" s="68">
        <f>C29+E29+G29+I29+K29+M29+O29+Q29+S29+U29+W29</f>
        <v>2158</v>
      </c>
      <c r="J31" s="69"/>
    </row>
    <row r="32" spans="2:30" x14ac:dyDescent="0.3">
      <c r="G32" s="75" t="s">
        <v>57</v>
      </c>
      <c r="H32" s="75"/>
      <c r="I32" s="68">
        <f>+D29+F29+H29+J29+L29+N29+P29+R29+T29+V29+X29</f>
        <v>709.26</v>
      </c>
      <c r="J32" s="69"/>
    </row>
    <row r="33" spans="3:25" x14ac:dyDescent="0.3">
      <c r="I33" s="68">
        <f>I32-I31</f>
        <v>-1448.74</v>
      </c>
      <c r="J33" s="69"/>
      <c r="Y33">
        <f>2167+183+5*10</f>
        <v>2400</v>
      </c>
    </row>
    <row r="34" spans="3:25" x14ac:dyDescent="0.3">
      <c r="C34" s="36">
        <f>C29+E29+G29+I29</f>
        <v>828</v>
      </c>
      <c r="D34" s="36">
        <f>D29+F29+H29+J29</f>
        <v>48.6</v>
      </c>
      <c r="E34" s="37">
        <f>D34-C34</f>
        <v>-779.4</v>
      </c>
      <c r="I34" s="38">
        <f>O29+K29+M29</f>
        <v>685</v>
      </c>
      <c r="J34" s="38">
        <f>P29+L29+N29</f>
        <v>486.25</v>
      </c>
      <c r="K34" s="39">
        <f>J34-I34</f>
        <v>-198.75</v>
      </c>
      <c r="O34" s="40">
        <f>U29+Q29+S29</f>
        <v>645</v>
      </c>
      <c r="P34" s="40">
        <f>V29+R29+T29</f>
        <v>174.41</v>
      </c>
      <c r="Q34" s="41">
        <f>P34-O34</f>
        <v>-470.59000000000003</v>
      </c>
      <c r="X34" s="55"/>
      <c r="Y34">
        <f>15*10</f>
        <v>150</v>
      </c>
    </row>
    <row r="35" spans="3:25" x14ac:dyDescent="0.3">
      <c r="C35" s="36"/>
      <c r="D35" s="34">
        <f>(D34-C34)/C34</f>
        <v>-0.94130434782608696</v>
      </c>
      <c r="E35" s="37"/>
      <c r="I35" s="38"/>
      <c r="J35" s="34">
        <f>(J34-I34)/I34</f>
        <v>-0.29014598540145986</v>
      </c>
      <c r="K35" s="39"/>
      <c r="O35" s="40"/>
      <c r="P35" s="34">
        <f>(P34-O34)/O34</f>
        <v>-0.72959689922480631</v>
      </c>
      <c r="Q35" s="41"/>
      <c r="X35" s="55"/>
    </row>
    <row r="36" spans="3:25" x14ac:dyDescent="0.3">
      <c r="G36" t="s">
        <v>58</v>
      </c>
      <c r="I36">
        <f>2000+1.59</f>
        <v>2001.59</v>
      </c>
    </row>
    <row r="37" spans="3:25" x14ac:dyDescent="0.3">
      <c r="G37" t="s">
        <v>85</v>
      </c>
    </row>
    <row r="38" spans="3:25" x14ac:dyDescent="0.3">
      <c r="G38" s="42" t="s">
        <v>64</v>
      </c>
      <c r="H38" s="42"/>
      <c r="I38" s="76">
        <f>I36+I33</f>
        <v>552.84999999999991</v>
      </c>
      <c r="J38" s="76"/>
      <c r="M38" s="33"/>
    </row>
    <row r="40" spans="3:25" x14ac:dyDescent="0.3">
      <c r="X40" s="55"/>
    </row>
    <row r="42" spans="3:25" x14ac:dyDescent="0.3">
      <c r="C42" s="1">
        <f>C29+E29+G29+I29</f>
        <v>828</v>
      </c>
      <c r="D42" s="1">
        <f>D29+F29+H29+J29</f>
        <v>48.6</v>
      </c>
      <c r="I42" s="1">
        <f>O29+K29+M29</f>
        <v>685</v>
      </c>
      <c r="J42" s="1">
        <f>P29+L29+N29</f>
        <v>486.25</v>
      </c>
      <c r="O42" s="1">
        <f>U29+Q29+S29</f>
        <v>645</v>
      </c>
      <c r="P42" s="1">
        <f>V29+R29+T29</f>
        <v>174.41</v>
      </c>
    </row>
    <row r="43" spans="3:25" x14ac:dyDescent="0.3">
      <c r="D43" s="1">
        <f>D42-C42</f>
        <v>-779.4</v>
      </c>
      <c r="J43" s="33">
        <f>J42-I42</f>
        <v>-198.75</v>
      </c>
      <c r="P43" s="33">
        <f>P42-O42</f>
        <v>-470.59000000000003</v>
      </c>
    </row>
    <row r="45" spans="3:25" x14ac:dyDescent="0.3">
      <c r="V45" t="s">
        <v>110</v>
      </c>
    </row>
    <row r="46" spans="3:25" x14ac:dyDescent="0.3">
      <c r="D46" t="s">
        <v>88</v>
      </c>
      <c r="J46" t="s">
        <v>111</v>
      </c>
      <c r="V46" t="s">
        <v>89</v>
      </c>
      <c r="W46">
        <v>5</v>
      </c>
    </row>
    <row r="47" spans="3:25" x14ac:dyDescent="0.3">
      <c r="D47" t="s">
        <v>90</v>
      </c>
      <c r="E47" t="s">
        <v>91</v>
      </c>
      <c r="J47" t="s">
        <v>90</v>
      </c>
      <c r="K47" t="s">
        <v>112</v>
      </c>
      <c r="V47" t="s">
        <v>12</v>
      </c>
      <c r="W47">
        <v>13</v>
      </c>
    </row>
    <row r="48" spans="3:25" x14ac:dyDescent="0.3">
      <c r="D48" t="s">
        <v>92</v>
      </c>
      <c r="E48" s="1">
        <f>SUM(V29)</f>
        <v>46.25</v>
      </c>
      <c r="J48" t="s">
        <v>92</v>
      </c>
      <c r="K48">
        <v>3</v>
      </c>
      <c r="V48" t="s">
        <v>93</v>
      </c>
      <c r="W48">
        <v>3</v>
      </c>
    </row>
    <row r="49" spans="4:23" x14ac:dyDescent="0.3">
      <c r="D49" t="s">
        <v>12</v>
      </c>
      <c r="E49" s="1">
        <f>SUM(L29)</f>
        <v>118.75</v>
      </c>
      <c r="J49" t="s">
        <v>12</v>
      </c>
      <c r="K49">
        <v>2</v>
      </c>
      <c r="V49" t="s">
        <v>92</v>
      </c>
      <c r="W49">
        <v>5</v>
      </c>
    </row>
    <row r="50" spans="4:23" x14ac:dyDescent="0.3">
      <c r="D50" t="s">
        <v>94</v>
      </c>
      <c r="E50" s="1">
        <f>SUM(D29)</f>
        <v>0</v>
      </c>
      <c r="J50" t="s">
        <v>94</v>
      </c>
      <c r="K50">
        <v>1</v>
      </c>
      <c r="V50" t="s">
        <v>9</v>
      </c>
      <c r="W50">
        <v>3</v>
      </c>
    </row>
    <row r="51" spans="4:23" x14ac:dyDescent="0.3">
      <c r="D51" t="s">
        <v>95</v>
      </c>
      <c r="E51" s="1">
        <f>SUM(F29)</f>
        <v>8.6</v>
      </c>
      <c r="J51" t="s">
        <v>95</v>
      </c>
      <c r="K51">
        <v>4</v>
      </c>
      <c r="V51" t="s">
        <v>11</v>
      </c>
      <c r="W51">
        <v>4</v>
      </c>
    </row>
    <row r="52" spans="4:23" x14ac:dyDescent="0.3">
      <c r="D52" t="s">
        <v>93</v>
      </c>
      <c r="E52" s="1">
        <f>SUM(T29)</f>
        <v>128.16</v>
      </c>
      <c r="J52" t="s">
        <v>93</v>
      </c>
      <c r="K52">
        <v>3</v>
      </c>
      <c r="V52" t="s">
        <v>96</v>
      </c>
      <c r="W52">
        <v>4</v>
      </c>
    </row>
    <row r="53" spans="4:23" x14ac:dyDescent="0.3">
      <c r="D53" t="s">
        <v>97</v>
      </c>
      <c r="E53" s="1">
        <f>SUM(R29)</f>
        <v>0</v>
      </c>
      <c r="J53" t="s">
        <v>97</v>
      </c>
      <c r="K53">
        <v>1</v>
      </c>
      <c r="V53" t="s">
        <v>98</v>
      </c>
      <c r="W53">
        <v>2</v>
      </c>
    </row>
    <row r="54" spans="4:23" x14ac:dyDescent="0.3">
      <c r="D54" t="s">
        <v>98</v>
      </c>
      <c r="E54" s="1">
        <f>SUM(J29)</f>
        <v>40</v>
      </c>
      <c r="J54" t="s">
        <v>98</v>
      </c>
      <c r="K54">
        <v>0</v>
      </c>
      <c r="V54" t="s">
        <v>97</v>
      </c>
      <c r="W54">
        <v>1</v>
      </c>
    </row>
    <row r="55" spans="4:23" x14ac:dyDescent="0.3">
      <c r="D55" t="s">
        <v>89</v>
      </c>
      <c r="E55" s="1">
        <f>SUM(H29)</f>
        <v>0</v>
      </c>
      <c r="J55" t="s">
        <v>89</v>
      </c>
      <c r="K55">
        <v>1</v>
      </c>
      <c r="V55" t="s">
        <v>94</v>
      </c>
      <c r="W55">
        <v>7</v>
      </c>
    </row>
    <row r="56" spans="4:23" x14ac:dyDescent="0.3">
      <c r="D56" t="s">
        <v>96</v>
      </c>
      <c r="E56" s="1">
        <f>SUM(N29)</f>
        <v>132.5</v>
      </c>
      <c r="J56" t="s">
        <v>96</v>
      </c>
      <c r="K56">
        <v>3</v>
      </c>
      <c r="W56">
        <f>SUM(W46:W55)</f>
        <v>47</v>
      </c>
    </row>
    <row r="57" spans="4:23" x14ac:dyDescent="0.3">
      <c r="D57" t="s">
        <v>9</v>
      </c>
      <c r="E57" s="1">
        <f>SUM(P29)</f>
        <v>235</v>
      </c>
      <c r="J57" t="s">
        <v>9</v>
      </c>
      <c r="K57">
        <v>1</v>
      </c>
    </row>
    <row r="58" spans="4:23" x14ac:dyDescent="0.3">
      <c r="D58" t="s">
        <v>99</v>
      </c>
      <c r="E58" s="1">
        <f>SUM(E48:E57)</f>
        <v>709.26</v>
      </c>
      <c r="K58">
        <f>SUM(K48:K57)</f>
        <v>19</v>
      </c>
    </row>
  </sheetData>
  <mergeCells count="18">
    <mergeCell ref="F31:H31"/>
    <mergeCell ref="I31:J31"/>
    <mergeCell ref="G32:H32"/>
    <mergeCell ref="I32:J32"/>
    <mergeCell ref="I33:J33"/>
    <mergeCell ref="I38:J38"/>
    <mergeCell ref="O2:P2"/>
    <mergeCell ref="Q2:R2"/>
    <mergeCell ref="S2:T2"/>
    <mergeCell ref="U2:V2"/>
    <mergeCell ref="W2:X2"/>
    <mergeCell ref="Y2:Z2"/>
    <mergeCell ref="C2:D2"/>
    <mergeCell ref="E2:F2"/>
    <mergeCell ref="G2:H2"/>
    <mergeCell ref="I2:J2"/>
    <mergeCell ref="K2:L2"/>
    <mergeCell ref="M2:N2"/>
  </mergeCells>
  <pageMargins left="0.25" right="0.25" top="0.75" bottom="0.75" header="0.3" footer="0.3"/>
  <pageSetup paperSize="9"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9F16-82B6-4065-BD66-A16405C0D139}">
  <sheetPr>
    <pageSetUpPr fitToPage="1"/>
  </sheetPr>
  <dimension ref="B1:AL61"/>
  <sheetViews>
    <sheetView topLeftCell="H1" workbookViewId="0">
      <selection activeCell="AI7" sqref="AI7"/>
    </sheetView>
  </sheetViews>
  <sheetFormatPr defaultRowHeight="14.4" x14ac:dyDescent="0.3"/>
  <cols>
    <col min="1" max="1" width="1.6640625" customWidth="1"/>
    <col min="2" max="2" width="5.6640625" customWidth="1"/>
    <col min="3" max="3" width="7.88671875" customWidth="1"/>
    <col min="4" max="4" width="9.109375" customWidth="1"/>
    <col min="5" max="5" width="9.88671875" customWidth="1"/>
    <col min="6" max="7" width="7.88671875" customWidth="1"/>
    <col min="8" max="8" width="8.6640625" customWidth="1"/>
    <col min="9" max="19" width="7.88671875" customWidth="1"/>
    <col min="20" max="20" width="8.5546875" customWidth="1"/>
    <col min="21" max="23" width="7.88671875" customWidth="1"/>
    <col min="24" max="24" width="8.88671875" customWidth="1"/>
    <col min="25" max="25" width="9.44140625" customWidth="1"/>
    <col min="26" max="26" width="9.6640625" customWidth="1"/>
    <col min="29" max="29" width="10.44140625" bestFit="1" customWidth="1"/>
    <col min="33" max="33" width="14.109375" customWidth="1"/>
    <col min="34" max="34" width="11" bestFit="1" customWidth="1"/>
    <col min="37" max="37" width="11.109375" customWidth="1"/>
    <col min="38" max="38" width="10.5546875" customWidth="1"/>
  </cols>
  <sheetData>
    <row r="1" spans="2:38" ht="7.5" customHeight="1" x14ac:dyDescent="0.35">
      <c r="W1" s="78"/>
      <c r="X1" s="79"/>
    </row>
    <row r="2" spans="2:38" ht="18" x14ac:dyDescent="0.35">
      <c r="C2" s="67" t="s">
        <v>113</v>
      </c>
      <c r="D2" s="67"/>
      <c r="E2" s="77" t="s">
        <v>101</v>
      </c>
      <c r="F2" s="73"/>
      <c r="G2" s="67" t="s">
        <v>114</v>
      </c>
      <c r="H2" s="67"/>
      <c r="I2" s="67" t="s">
        <v>115</v>
      </c>
      <c r="J2" s="67"/>
      <c r="K2" s="67" t="s">
        <v>104</v>
      </c>
      <c r="L2" s="67"/>
      <c r="M2" s="77" t="s">
        <v>103</v>
      </c>
      <c r="N2" s="73"/>
      <c r="O2" s="67" t="s">
        <v>106</v>
      </c>
      <c r="P2" s="67"/>
      <c r="Q2" s="67" t="s">
        <v>107</v>
      </c>
      <c r="R2" s="67"/>
      <c r="S2" s="67" t="s">
        <v>100</v>
      </c>
      <c r="T2" s="67"/>
      <c r="U2" s="67" t="s">
        <v>108</v>
      </c>
      <c r="V2" s="77"/>
      <c r="W2" s="80" t="s">
        <v>102</v>
      </c>
      <c r="X2" s="81"/>
      <c r="Y2" s="80" t="s">
        <v>105</v>
      </c>
      <c r="Z2" s="82"/>
      <c r="AA2" s="83" t="s">
        <v>66</v>
      </c>
      <c r="AB2" s="84"/>
      <c r="AC2" s="73" t="s">
        <v>28</v>
      </c>
      <c r="AD2" s="67"/>
    </row>
    <row r="3" spans="2:38" x14ac:dyDescent="0.3">
      <c r="B3" s="32" t="s">
        <v>29</v>
      </c>
      <c r="C3" s="24" t="s">
        <v>30</v>
      </c>
      <c r="D3" s="25" t="s">
        <v>31</v>
      </c>
      <c r="E3" s="24" t="s">
        <v>30</v>
      </c>
      <c r="F3" s="25" t="s">
        <v>31</v>
      </c>
      <c r="G3" s="24" t="s">
        <v>30</v>
      </c>
      <c r="H3" s="25" t="s">
        <v>31</v>
      </c>
      <c r="I3" s="24" t="s">
        <v>30</v>
      </c>
      <c r="J3" s="25" t="s">
        <v>31</v>
      </c>
      <c r="K3" s="24" t="s">
        <v>30</v>
      </c>
      <c r="L3" s="25" t="s">
        <v>31</v>
      </c>
      <c r="M3" s="24" t="s">
        <v>30</v>
      </c>
      <c r="N3" s="25" t="s">
        <v>31</v>
      </c>
      <c r="O3" s="24" t="s">
        <v>30</v>
      </c>
      <c r="P3" s="25" t="s">
        <v>31</v>
      </c>
      <c r="Q3" s="24" t="s">
        <v>30</v>
      </c>
      <c r="R3" s="25" t="s">
        <v>31</v>
      </c>
      <c r="S3" s="24" t="s">
        <v>30</v>
      </c>
      <c r="T3" s="25" t="s">
        <v>31</v>
      </c>
      <c r="U3" s="24" t="s">
        <v>30</v>
      </c>
      <c r="V3" s="26" t="s">
        <v>31</v>
      </c>
      <c r="W3" s="57" t="s">
        <v>30</v>
      </c>
      <c r="X3" s="58" t="s">
        <v>31</v>
      </c>
      <c r="Y3" s="57" t="s">
        <v>30</v>
      </c>
      <c r="Z3" s="58" t="s">
        <v>31</v>
      </c>
      <c r="AA3" s="24" t="s">
        <v>30</v>
      </c>
      <c r="AB3" s="26" t="s">
        <v>31</v>
      </c>
      <c r="AC3" s="27" t="s">
        <v>30</v>
      </c>
      <c r="AD3" s="25" t="s">
        <v>31</v>
      </c>
      <c r="AE3" s="27" t="s">
        <v>30</v>
      </c>
      <c r="AF3" s="25" t="s">
        <v>31</v>
      </c>
      <c r="AG3" s="27" t="s">
        <v>83</v>
      </c>
      <c r="AH3" s="25"/>
    </row>
    <row r="4" spans="2:38" x14ac:dyDescent="0.3">
      <c r="B4" s="54" t="s">
        <v>109</v>
      </c>
      <c r="C4" s="12"/>
      <c r="D4" s="13"/>
      <c r="E4" s="14"/>
      <c r="F4" s="13"/>
      <c r="G4" s="14">
        <v>25</v>
      </c>
      <c r="H4" s="13">
        <v>0</v>
      </c>
      <c r="I4" s="14"/>
      <c r="J4" s="13"/>
      <c r="K4" s="14"/>
      <c r="L4" s="13"/>
      <c r="M4" s="14"/>
      <c r="N4" s="13"/>
      <c r="O4" s="14"/>
      <c r="P4" s="13"/>
      <c r="Q4" s="14"/>
      <c r="R4" s="13"/>
      <c r="S4" s="14"/>
      <c r="T4" s="13"/>
      <c r="U4" s="12"/>
      <c r="V4" s="19"/>
      <c r="W4" s="12"/>
      <c r="X4" s="19"/>
      <c r="Y4" s="12"/>
      <c r="Z4" s="19"/>
      <c r="AA4" s="12"/>
      <c r="AB4" s="19"/>
      <c r="AC4" s="17">
        <f>U4+S4+Q4+O4+M4+K4+I4+G4+E4+C4+W4+Y4</f>
        <v>25</v>
      </c>
      <c r="AD4" s="48">
        <f t="shared" ref="AD4" si="0">V4+T4+R4+P4+N4+L4+J4+H4+F4+D4</f>
        <v>0</v>
      </c>
      <c r="AE4" s="1">
        <f>AC4</f>
        <v>25</v>
      </c>
      <c r="AF4" s="1">
        <f>AD4</f>
        <v>0</v>
      </c>
      <c r="AG4" s="1">
        <f>AF4-AE4</f>
        <v>-25</v>
      </c>
      <c r="AH4" s="1"/>
    </row>
    <row r="5" spans="2:38" x14ac:dyDescent="0.3">
      <c r="B5" s="54" t="s">
        <v>32</v>
      </c>
      <c r="C5" s="15">
        <v>25</v>
      </c>
      <c r="D5" s="16">
        <v>0</v>
      </c>
      <c r="E5" s="17">
        <v>25</v>
      </c>
      <c r="F5" s="16">
        <v>0</v>
      </c>
      <c r="G5" s="17"/>
      <c r="H5" s="16"/>
      <c r="I5" s="17">
        <v>25</v>
      </c>
      <c r="J5" s="16">
        <v>0</v>
      </c>
      <c r="K5" s="17">
        <v>25</v>
      </c>
      <c r="L5" s="16">
        <v>0</v>
      </c>
      <c r="M5" s="17">
        <v>20</v>
      </c>
      <c r="N5" s="16">
        <v>0</v>
      </c>
      <c r="O5" s="17">
        <v>25</v>
      </c>
      <c r="P5" s="16">
        <v>109.38</v>
      </c>
      <c r="Q5" s="17">
        <v>25</v>
      </c>
      <c r="R5" s="16">
        <v>0</v>
      </c>
      <c r="S5" s="17">
        <v>25</v>
      </c>
      <c r="T5" s="16">
        <v>190</v>
      </c>
      <c r="U5" s="15">
        <v>25</v>
      </c>
      <c r="V5" s="20">
        <v>0</v>
      </c>
      <c r="W5" s="15">
        <v>25</v>
      </c>
      <c r="X5" s="20">
        <v>0</v>
      </c>
      <c r="Y5" s="15">
        <v>25</v>
      </c>
      <c r="Z5" s="20">
        <f>54.38+45</f>
        <v>99.38</v>
      </c>
      <c r="AA5" s="15"/>
      <c r="AB5" s="20"/>
      <c r="AC5" s="17">
        <f>U5+S5+Q5+O5+M5+K5+I5+G5+E5+C5+W5+Y5</f>
        <v>270</v>
      </c>
      <c r="AD5" s="35">
        <f>V5+T5+R5+P5+N5+L5+J5+H5+F5+D5+X5+Z5</f>
        <v>398.76</v>
      </c>
      <c r="AE5" s="1">
        <f>AE4+AC5</f>
        <v>295</v>
      </c>
      <c r="AF5" s="1">
        <f>AF4+AD5</f>
        <v>398.76</v>
      </c>
      <c r="AG5" s="1">
        <f t="shared" ref="AG5:AG27" si="1">AF5-AE5</f>
        <v>103.75999999999999</v>
      </c>
      <c r="AH5" s="1"/>
    </row>
    <row r="6" spans="2:38" ht="15" thickBot="1" x14ac:dyDescent="0.35">
      <c r="B6" s="52" t="s">
        <v>34</v>
      </c>
      <c r="C6" s="15">
        <v>20</v>
      </c>
      <c r="D6" s="16">
        <v>0</v>
      </c>
      <c r="E6" s="17">
        <v>20</v>
      </c>
      <c r="F6" s="16">
        <v>0</v>
      </c>
      <c r="G6" s="17">
        <v>25</v>
      </c>
      <c r="H6" s="16">
        <v>0</v>
      </c>
      <c r="I6" s="17">
        <v>25</v>
      </c>
      <c r="J6" s="16">
        <v>0</v>
      </c>
      <c r="K6" s="17"/>
      <c r="L6" s="16"/>
      <c r="M6" s="17">
        <v>5</v>
      </c>
      <c r="N6" s="16">
        <v>0</v>
      </c>
      <c r="O6" s="17"/>
      <c r="P6" s="16"/>
      <c r="Q6" s="17"/>
      <c r="R6" s="16"/>
      <c r="S6" s="17"/>
      <c r="T6" s="16"/>
      <c r="U6" s="15"/>
      <c r="V6" s="20"/>
      <c r="W6" s="15"/>
      <c r="X6" s="20"/>
      <c r="Y6" s="15"/>
      <c r="Z6" s="20"/>
      <c r="AA6" s="15"/>
      <c r="AB6" s="20"/>
      <c r="AC6" s="17">
        <f t="shared" ref="AC6:AC27" si="2">U6+S6+Q6+O6+M6+K6+I6+G6+E6+C6+W6+Y6</f>
        <v>95</v>
      </c>
      <c r="AD6" s="35">
        <f t="shared" ref="AD6:AD27" si="3">V6+T6+R6+P6+N6+L6+J6+H6+F6+D6+X6+Z6</f>
        <v>0</v>
      </c>
      <c r="AE6" s="1">
        <f t="shared" ref="AE6:AF21" si="4">AE5+AC6</f>
        <v>390</v>
      </c>
      <c r="AF6" s="1">
        <f t="shared" si="4"/>
        <v>398.76</v>
      </c>
      <c r="AG6" s="1">
        <f t="shared" si="1"/>
        <v>8.7599999999999909</v>
      </c>
      <c r="AH6" s="1"/>
      <c r="AI6" s="43" t="s">
        <v>67</v>
      </c>
      <c r="AJ6" s="43" t="s">
        <v>68</v>
      </c>
      <c r="AK6" s="43" t="s">
        <v>69</v>
      </c>
      <c r="AL6" s="43" t="s">
        <v>70</v>
      </c>
    </row>
    <row r="7" spans="2:38" ht="15" thickBot="1" x14ac:dyDescent="0.35">
      <c r="B7" s="51" t="s">
        <v>35</v>
      </c>
      <c r="C7" s="15"/>
      <c r="D7" s="16"/>
      <c r="E7" s="17">
        <v>5</v>
      </c>
      <c r="F7" s="16">
        <v>0</v>
      </c>
      <c r="G7" s="17"/>
      <c r="H7" s="16"/>
      <c r="I7" s="17"/>
      <c r="J7" s="16"/>
      <c r="K7" s="17">
        <f>10+7.5+5+2.5</f>
        <v>25</v>
      </c>
      <c r="L7" s="16">
        <v>0</v>
      </c>
      <c r="M7" s="17">
        <f>5+10+5</f>
        <v>20</v>
      </c>
      <c r="N7" s="16">
        <v>0</v>
      </c>
      <c r="O7" s="17">
        <f>5+5+5+5+5</f>
        <v>25</v>
      </c>
      <c r="P7" s="16">
        <v>0</v>
      </c>
      <c r="Q7" s="17">
        <f>5+10+5+5</f>
        <v>25</v>
      </c>
      <c r="R7" s="16">
        <v>0</v>
      </c>
      <c r="S7" s="17"/>
      <c r="T7" s="16"/>
      <c r="U7" s="15"/>
      <c r="V7" s="20"/>
      <c r="W7" s="15"/>
      <c r="X7" s="20"/>
      <c r="Y7" s="15"/>
      <c r="Z7" s="20"/>
      <c r="AA7" s="15"/>
      <c r="AB7" s="20"/>
      <c r="AC7" s="17">
        <f t="shared" si="2"/>
        <v>100</v>
      </c>
      <c r="AD7" s="35">
        <f t="shared" si="3"/>
        <v>0</v>
      </c>
      <c r="AE7" s="1">
        <f t="shared" si="4"/>
        <v>490</v>
      </c>
      <c r="AF7" s="1">
        <f t="shared" si="4"/>
        <v>398.76</v>
      </c>
      <c r="AG7" s="1">
        <f t="shared" si="1"/>
        <v>-91.240000000000009</v>
      </c>
      <c r="AH7" s="44" t="s">
        <v>71</v>
      </c>
      <c r="AI7" s="44">
        <f>+E30+'Punters 2024'!AE7</f>
        <v>1428</v>
      </c>
      <c r="AJ7" s="44">
        <f>+F30+'Punters 2024'!AF7</f>
        <v>542.6</v>
      </c>
      <c r="AK7" s="49">
        <f>+AJ7-AI7</f>
        <v>-885.4</v>
      </c>
      <c r="AL7" s="47">
        <f>(AJ7-AI7)/AI7</f>
        <v>-0.62002801120448181</v>
      </c>
    </row>
    <row r="8" spans="2:38" ht="15" thickBot="1" x14ac:dyDescent="0.35">
      <c r="B8" s="53" t="s">
        <v>36</v>
      </c>
      <c r="C8" s="15"/>
      <c r="D8" s="16"/>
      <c r="E8" s="17"/>
      <c r="F8" s="16"/>
      <c r="G8" s="17"/>
      <c r="H8" s="16"/>
      <c r="I8" s="17"/>
      <c r="J8" s="16"/>
      <c r="K8" s="17"/>
      <c r="L8" s="16"/>
      <c r="M8" s="17"/>
      <c r="N8" s="16"/>
      <c r="O8" s="17"/>
      <c r="P8" s="16"/>
      <c r="Q8" s="17"/>
      <c r="R8" s="16"/>
      <c r="S8" s="17">
        <v>25</v>
      </c>
      <c r="T8" s="16">
        <v>0</v>
      </c>
      <c r="U8" s="15">
        <v>25</v>
      </c>
      <c r="V8" s="20">
        <v>0</v>
      </c>
      <c r="W8" s="15">
        <v>25</v>
      </c>
      <c r="X8" s="20">
        <v>0</v>
      </c>
      <c r="Y8" s="15">
        <v>25</v>
      </c>
      <c r="Z8" s="20">
        <v>1.65</v>
      </c>
      <c r="AA8" s="15"/>
      <c r="AB8" s="20"/>
      <c r="AC8" s="17">
        <f t="shared" si="2"/>
        <v>100</v>
      </c>
      <c r="AD8" s="35">
        <f t="shared" si="3"/>
        <v>1.65</v>
      </c>
      <c r="AE8" s="1">
        <f t="shared" si="4"/>
        <v>590</v>
      </c>
      <c r="AF8" s="1">
        <f t="shared" si="4"/>
        <v>400.40999999999997</v>
      </c>
      <c r="AG8" s="1">
        <f t="shared" si="1"/>
        <v>-189.59000000000003</v>
      </c>
      <c r="AH8" s="44" t="s">
        <v>72</v>
      </c>
      <c r="AI8" s="44">
        <f>+K30+'Punters 2024'!AE8</f>
        <v>1613</v>
      </c>
      <c r="AJ8" s="44">
        <f>+L30+'Punters 2024'!AF8</f>
        <v>1138.52</v>
      </c>
      <c r="AK8" s="50">
        <f t="shared" ref="AK8:AK16" si="5">+AJ8-AI8</f>
        <v>-474.48</v>
      </c>
      <c r="AL8" s="47">
        <f t="shared" ref="AL8:AL16" si="6">(AJ8-AI8)/AI8</f>
        <v>-0.29415995040297582</v>
      </c>
    </row>
    <row r="9" spans="2:38" ht="15" thickBot="1" x14ac:dyDescent="0.35">
      <c r="B9" s="52" t="s">
        <v>37</v>
      </c>
      <c r="C9" s="15">
        <v>30</v>
      </c>
      <c r="D9" s="16">
        <v>0</v>
      </c>
      <c r="E9" s="17">
        <v>25</v>
      </c>
      <c r="F9" s="16">
        <v>0</v>
      </c>
      <c r="G9" s="17">
        <v>25</v>
      </c>
      <c r="H9" s="16">
        <v>0</v>
      </c>
      <c r="I9" s="17">
        <v>25</v>
      </c>
      <c r="J9" s="16">
        <v>0</v>
      </c>
      <c r="K9" s="17"/>
      <c r="L9" s="16"/>
      <c r="M9" s="17"/>
      <c r="N9" s="16"/>
      <c r="O9" s="17"/>
      <c r="P9" s="16"/>
      <c r="Q9" s="17"/>
      <c r="R9" s="16"/>
      <c r="S9" s="17"/>
      <c r="T9" s="16"/>
      <c r="U9" s="15"/>
      <c r="V9" s="20"/>
      <c r="W9" s="15"/>
      <c r="X9" s="20"/>
      <c r="Y9" s="15"/>
      <c r="Z9" s="20"/>
      <c r="AA9" s="15"/>
      <c r="AB9" s="20"/>
      <c r="AC9" s="17">
        <f t="shared" si="2"/>
        <v>105</v>
      </c>
      <c r="AD9" s="35">
        <f t="shared" si="3"/>
        <v>0</v>
      </c>
      <c r="AE9" s="1">
        <f t="shared" si="4"/>
        <v>695</v>
      </c>
      <c r="AF9" s="1">
        <f t="shared" si="4"/>
        <v>400.40999999999997</v>
      </c>
      <c r="AG9" s="1">
        <f t="shared" si="1"/>
        <v>-294.59000000000003</v>
      </c>
      <c r="AH9" s="44" t="s">
        <v>73</v>
      </c>
      <c r="AI9" s="44">
        <f>+Y30+'Punters 2024'!AE9</f>
        <v>1593.48</v>
      </c>
      <c r="AJ9" s="44">
        <f>Z30+'Punters 2024'!AF9</f>
        <v>1278.68</v>
      </c>
      <c r="AK9" s="50">
        <f t="shared" si="5"/>
        <v>-314.79999999999995</v>
      </c>
      <c r="AL9" s="47">
        <f t="shared" si="6"/>
        <v>-0.1975550367748575</v>
      </c>
    </row>
    <row r="10" spans="2:38" ht="15" thickBot="1" x14ac:dyDescent="0.35">
      <c r="B10" s="51" t="s">
        <v>38</v>
      </c>
      <c r="C10" s="15"/>
      <c r="D10" s="16"/>
      <c r="E10" s="17"/>
      <c r="F10" s="16"/>
      <c r="G10" s="17"/>
      <c r="H10" s="16"/>
      <c r="I10" s="17"/>
      <c r="J10" s="16"/>
      <c r="K10" s="17">
        <v>25</v>
      </c>
      <c r="L10" s="16">
        <v>0</v>
      </c>
      <c r="M10" s="17">
        <f>5+10+5+10</f>
        <v>30</v>
      </c>
      <c r="N10" s="16">
        <v>0</v>
      </c>
      <c r="O10" s="17">
        <v>25</v>
      </c>
      <c r="P10" s="16">
        <v>0</v>
      </c>
      <c r="Q10" s="17">
        <v>25</v>
      </c>
      <c r="R10" s="16">
        <v>0</v>
      </c>
      <c r="S10" s="17"/>
      <c r="T10" s="16"/>
      <c r="U10" s="15"/>
      <c r="V10" s="20"/>
      <c r="W10" s="15"/>
      <c r="X10" s="20"/>
      <c r="Y10" s="15"/>
      <c r="Z10" s="20"/>
      <c r="AA10" s="15"/>
      <c r="AB10" s="20"/>
      <c r="AC10" s="17">
        <f t="shared" si="2"/>
        <v>105</v>
      </c>
      <c r="AD10" s="35">
        <f t="shared" si="3"/>
        <v>0</v>
      </c>
      <c r="AE10" s="1">
        <f t="shared" si="4"/>
        <v>800</v>
      </c>
      <c r="AF10" s="1">
        <f t="shared" si="4"/>
        <v>400.40999999999997</v>
      </c>
      <c r="AG10" s="1">
        <f t="shared" si="1"/>
        <v>-399.59000000000003</v>
      </c>
      <c r="AH10" s="44" t="s">
        <v>74</v>
      </c>
      <c r="AI10" s="44">
        <f>+S30+'Punters 2024'!AE10</f>
        <v>1589.9</v>
      </c>
      <c r="AJ10" s="44">
        <f>+T30+'Punters 2024'!AF10</f>
        <v>1785.06</v>
      </c>
      <c r="AK10" s="50">
        <f t="shared" si="5"/>
        <v>195.15999999999985</v>
      </c>
      <c r="AL10" s="45">
        <f t="shared" si="6"/>
        <v>0.12274985848166542</v>
      </c>
    </row>
    <row r="11" spans="2:38" ht="15" thickBot="1" x14ac:dyDescent="0.35">
      <c r="B11" s="53" t="s">
        <v>39</v>
      </c>
      <c r="C11" s="15"/>
      <c r="D11" s="16"/>
      <c r="E11" s="17"/>
      <c r="F11" s="16"/>
      <c r="G11" s="17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>
        <v>25</v>
      </c>
      <c r="T11" s="16">
        <v>78.61</v>
      </c>
      <c r="U11" s="15">
        <v>25</v>
      </c>
      <c r="V11" s="20">
        <v>0</v>
      </c>
      <c r="W11" s="15">
        <v>25</v>
      </c>
      <c r="X11" s="20">
        <f>33.75+32.5</f>
        <v>66.25</v>
      </c>
      <c r="Y11" s="15">
        <v>25</v>
      </c>
      <c r="Z11" s="20">
        <v>83.75</v>
      </c>
      <c r="AA11" s="15"/>
      <c r="AB11" s="20"/>
      <c r="AC11" s="17">
        <f t="shared" si="2"/>
        <v>100</v>
      </c>
      <c r="AD11" s="35">
        <f t="shared" si="3"/>
        <v>228.61</v>
      </c>
      <c r="AE11" s="1">
        <f t="shared" si="4"/>
        <v>900</v>
      </c>
      <c r="AF11" s="1">
        <f t="shared" si="4"/>
        <v>629.02</v>
      </c>
      <c r="AG11" s="1">
        <f t="shared" si="1"/>
        <v>-270.98</v>
      </c>
      <c r="AH11" s="44" t="s">
        <v>75</v>
      </c>
      <c r="AI11" s="44">
        <f>+M30+'Punters 2024'!AE11</f>
        <v>1293</v>
      </c>
      <c r="AJ11" s="44">
        <f>+N30+'Punters 2024'!AF11</f>
        <v>166.25</v>
      </c>
      <c r="AK11" s="49">
        <f t="shared" si="5"/>
        <v>-1126.75</v>
      </c>
      <c r="AL11" s="47">
        <f t="shared" si="6"/>
        <v>-0.8714230471771075</v>
      </c>
    </row>
    <row r="12" spans="2:38" ht="15" thickBot="1" x14ac:dyDescent="0.35">
      <c r="B12" s="52" t="s">
        <v>40</v>
      </c>
      <c r="C12" s="15">
        <v>25</v>
      </c>
      <c r="D12" s="16">
        <v>80</v>
      </c>
      <c r="E12" s="17">
        <v>25</v>
      </c>
      <c r="F12" s="16">
        <v>0</v>
      </c>
      <c r="G12" s="17">
        <v>25</v>
      </c>
      <c r="H12" s="16">
        <v>0</v>
      </c>
      <c r="I12" s="17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6"/>
      <c r="U12" s="15"/>
      <c r="V12" s="20"/>
      <c r="W12" s="15"/>
      <c r="X12" s="20"/>
      <c r="Y12" s="15"/>
      <c r="Z12" s="20"/>
      <c r="AA12" s="15"/>
      <c r="AB12" s="20"/>
      <c r="AC12" s="17">
        <f t="shared" si="2"/>
        <v>75</v>
      </c>
      <c r="AD12" s="35">
        <f t="shared" si="3"/>
        <v>80</v>
      </c>
      <c r="AE12" s="1">
        <f t="shared" si="4"/>
        <v>975</v>
      </c>
      <c r="AF12" s="1">
        <f t="shared" si="4"/>
        <v>709.02</v>
      </c>
      <c r="AG12" s="1">
        <f t="shared" si="1"/>
        <v>-265.98</v>
      </c>
      <c r="AH12" s="44" t="s">
        <v>76</v>
      </c>
      <c r="AI12" s="44">
        <f>+U30+'Punters 2024'!AE12</f>
        <v>1584.96</v>
      </c>
      <c r="AJ12" s="44">
        <f>+V30+'Punters 2024'!AF12</f>
        <v>890.65999999999985</v>
      </c>
      <c r="AK12" s="49">
        <f t="shared" si="5"/>
        <v>-694.30000000000018</v>
      </c>
      <c r="AL12" s="47">
        <f t="shared" si="6"/>
        <v>-0.43805521905915618</v>
      </c>
    </row>
    <row r="13" spans="2:38" ht="15" thickBot="1" x14ac:dyDescent="0.35">
      <c r="B13" s="51" t="s">
        <v>41</v>
      </c>
      <c r="C13" s="15"/>
      <c r="D13" s="16"/>
      <c r="E13" s="17"/>
      <c r="F13" s="16"/>
      <c r="G13" s="17"/>
      <c r="H13" s="16"/>
      <c r="I13" s="17">
        <v>25</v>
      </c>
      <c r="J13" s="16">
        <v>0</v>
      </c>
      <c r="K13" s="17">
        <v>25</v>
      </c>
      <c r="L13" s="16">
        <v>0</v>
      </c>
      <c r="M13" s="17">
        <v>25</v>
      </c>
      <c r="N13" s="16">
        <v>0</v>
      </c>
      <c r="O13" s="17">
        <v>25</v>
      </c>
      <c r="P13" s="16">
        <v>121.88</v>
      </c>
      <c r="Q13" s="17">
        <v>25</v>
      </c>
      <c r="R13" s="16">
        <v>0</v>
      </c>
      <c r="S13" s="17"/>
      <c r="T13" s="16"/>
      <c r="U13" s="15"/>
      <c r="V13" s="20"/>
      <c r="W13" s="15"/>
      <c r="X13" s="20"/>
      <c r="Y13" s="15"/>
      <c r="Z13" s="20"/>
      <c r="AA13" s="15"/>
      <c r="AB13" s="20"/>
      <c r="AC13" s="17">
        <f t="shared" si="2"/>
        <v>125</v>
      </c>
      <c r="AD13" s="35">
        <f t="shared" si="3"/>
        <v>121.88</v>
      </c>
      <c r="AE13" s="1">
        <f t="shared" si="4"/>
        <v>1100</v>
      </c>
      <c r="AF13" s="1">
        <f t="shared" si="4"/>
        <v>830.9</v>
      </c>
      <c r="AG13" s="1">
        <f t="shared" si="1"/>
        <v>-269.10000000000002</v>
      </c>
      <c r="AH13" s="44" t="s">
        <v>77</v>
      </c>
      <c r="AI13" s="44">
        <f>+I30+'Punters 2024'!AE13</f>
        <v>1571.3400000000001</v>
      </c>
      <c r="AJ13" s="44">
        <f>+J30+'Punters 2024'!AF13</f>
        <v>809.59</v>
      </c>
      <c r="AK13" s="49">
        <f t="shared" si="5"/>
        <v>-761.75000000000011</v>
      </c>
      <c r="AL13" s="47">
        <f t="shared" si="6"/>
        <v>-0.48477732381279676</v>
      </c>
    </row>
    <row r="14" spans="2:38" ht="15" thickBot="1" x14ac:dyDescent="0.35">
      <c r="B14" s="53" t="s">
        <v>42</v>
      </c>
      <c r="C14" s="15"/>
      <c r="D14" s="16"/>
      <c r="E14" s="17"/>
      <c r="F14" s="16"/>
      <c r="G14" s="17"/>
      <c r="H14" s="16"/>
      <c r="I14" s="17"/>
      <c r="J14" s="16"/>
      <c r="K14" s="17"/>
      <c r="L14" s="16"/>
      <c r="M14" s="17"/>
      <c r="N14" s="16"/>
      <c r="O14" s="17"/>
      <c r="P14" s="16"/>
      <c r="Q14" s="17"/>
      <c r="R14" s="16"/>
      <c r="S14" s="17">
        <v>25</v>
      </c>
      <c r="T14" s="16">
        <v>0</v>
      </c>
      <c r="U14" s="15">
        <v>25</v>
      </c>
      <c r="V14" s="20">
        <v>0</v>
      </c>
      <c r="W14" s="15">
        <v>25</v>
      </c>
      <c r="X14" s="20">
        <v>0</v>
      </c>
      <c r="Y14" s="15">
        <v>25</v>
      </c>
      <c r="Z14" s="20">
        <v>0</v>
      </c>
      <c r="AA14" s="15"/>
      <c r="AB14" s="20"/>
      <c r="AC14" s="17">
        <f t="shared" si="2"/>
        <v>100</v>
      </c>
      <c r="AD14" s="35">
        <f t="shared" si="3"/>
        <v>0</v>
      </c>
      <c r="AE14" s="1">
        <f t="shared" si="4"/>
        <v>1200</v>
      </c>
      <c r="AF14" s="1">
        <f t="shared" si="4"/>
        <v>830.9</v>
      </c>
      <c r="AG14" s="1">
        <f t="shared" si="1"/>
        <v>-369.1</v>
      </c>
      <c r="AH14" s="44" t="s">
        <v>78</v>
      </c>
      <c r="AI14" s="44">
        <f>+Q30+'Punters 2024'!AE14</f>
        <v>1578</v>
      </c>
      <c r="AJ14" s="44">
        <f>+R30+'Punters 2024'!AF14</f>
        <v>772.12</v>
      </c>
      <c r="AK14" s="49">
        <f t="shared" si="5"/>
        <v>-805.88</v>
      </c>
      <c r="AL14" s="47">
        <f t="shared" si="6"/>
        <v>-0.51069708491761723</v>
      </c>
    </row>
    <row r="15" spans="2:38" ht="15" thickBot="1" x14ac:dyDescent="0.35">
      <c r="B15" s="52" t="s">
        <v>43</v>
      </c>
      <c r="C15" s="15">
        <v>25</v>
      </c>
      <c r="D15" s="16">
        <v>0</v>
      </c>
      <c r="E15" s="17">
        <v>25</v>
      </c>
      <c r="F15" s="16">
        <v>0</v>
      </c>
      <c r="G15" s="17">
        <v>25</v>
      </c>
      <c r="H15" s="16">
        <v>0</v>
      </c>
      <c r="I15" s="17">
        <v>25</v>
      </c>
      <c r="J15" s="16">
        <v>183.35</v>
      </c>
      <c r="K15" s="17"/>
      <c r="L15" s="16"/>
      <c r="M15" s="17"/>
      <c r="N15" s="16"/>
      <c r="O15" s="17"/>
      <c r="P15" s="16"/>
      <c r="Q15" s="17"/>
      <c r="R15" s="16"/>
      <c r="S15" s="17"/>
      <c r="T15" s="16"/>
      <c r="U15" s="15"/>
      <c r="V15" s="20"/>
      <c r="W15" s="15"/>
      <c r="X15" s="20"/>
      <c r="Y15" s="15"/>
      <c r="Z15" s="20"/>
      <c r="AA15" s="15"/>
      <c r="AB15" s="20"/>
      <c r="AC15" s="17">
        <f t="shared" si="2"/>
        <v>100</v>
      </c>
      <c r="AD15" s="35">
        <f t="shared" si="3"/>
        <v>183.35</v>
      </c>
      <c r="AE15" s="1">
        <f t="shared" si="4"/>
        <v>1300</v>
      </c>
      <c r="AF15" s="1">
        <f t="shared" si="4"/>
        <v>1014.25</v>
      </c>
      <c r="AG15" s="1">
        <f t="shared" si="1"/>
        <v>-285.75</v>
      </c>
      <c r="AH15" s="44" t="s">
        <v>79</v>
      </c>
      <c r="AI15" s="44">
        <f>+O30+'Punters 2024'!AE15</f>
        <v>1587.7</v>
      </c>
      <c r="AJ15" s="44">
        <f>+P30+'Punters 2024'!AF15</f>
        <v>2289.85</v>
      </c>
      <c r="AK15" s="50">
        <f t="shared" si="5"/>
        <v>702.14999999999986</v>
      </c>
      <c r="AL15" s="45">
        <f t="shared" si="6"/>
        <v>0.44224349688228243</v>
      </c>
    </row>
    <row r="16" spans="2:38" ht="15" thickBot="1" x14ac:dyDescent="0.35">
      <c r="B16" s="51" t="s">
        <v>44</v>
      </c>
      <c r="C16" s="15"/>
      <c r="D16" s="16"/>
      <c r="E16" s="17"/>
      <c r="F16" s="16"/>
      <c r="G16" s="17"/>
      <c r="H16" s="16"/>
      <c r="I16" s="17"/>
      <c r="J16" s="16"/>
      <c r="K16" s="17">
        <v>25</v>
      </c>
      <c r="L16" s="16">
        <v>0</v>
      </c>
      <c r="M16" s="17">
        <v>10</v>
      </c>
      <c r="N16" s="16">
        <v>0</v>
      </c>
      <c r="O16" s="17">
        <v>25</v>
      </c>
      <c r="P16" s="16">
        <v>0</v>
      </c>
      <c r="Q16" s="17">
        <v>25</v>
      </c>
      <c r="R16" s="16">
        <v>0</v>
      </c>
      <c r="S16" s="17"/>
      <c r="T16" s="16"/>
      <c r="U16" s="15"/>
      <c r="V16" s="20"/>
      <c r="W16" s="15"/>
      <c r="X16" s="20"/>
      <c r="Y16" s="15"/>
      <c r="Z16" s="20"/>
      <c r="AA16" s="15"/>
      <c r="AB16" s="20"/>
      <c r="AC16" s="17">
        <f t="shared" si="2"/>
        <v>85</v>
      </c>
      <c r="AD16" s="35">
        <f t="shared" si="3"/>
        <v>0</v>
      </c>
      <c r="AE16" s="1">
        <f t="shared" si="4"/>
        <v>1385</v>
      </c>
      <c r="AF16" s="1">
        <f t="shared" si="4"/>
        <v>1014.25</v>
      </c>
      <c r="AG16" s="1">
        <f t="shared" si="1"/>
        <v>-370.75</v>
      </c>
      <c r="AH16" s="44" t="s">
        <v>80</v>
      </c>
      <c r="AI16" s="44">
        <f>+W30+'Punters 2024'!AE16</f>
        <v>820</v>
      </c>
      <c r="AJ16" s="44">
        <f>+X30+'Punters 2024'!AF16</f>
        <v>287.33</v>
      </c>
      <c r="AK16" s="49">
        <f t="shared" si="5"/>
        <v>-532.67000000000007</v>
      </c>
      <c r="AL16" s="47">
        <f t="shared" si="6"/>
        <v>-0.64959756097560983</v>
      </c>
    </row>
    <row r="17" spans="2:38" x14ac:dyDescent="0.3">
      <c r="B17" s="53" t="s">
        <v>45</v>
      </c>
      <c r="C17" s="15"/>
      <c r="D17" s="16"/>
      <c r="E17" s="17"/>
      <c r="F17" s="16"/>
      <c r="G17" s="17"/>
      <c r="H17" s="16"/>
      <c r="I17" s="17"/>
      <c r="J17" s="16"/>
      <c r="K17" s="17"/>
      <c r="L17" s="16"/>
      <c r="M17" s="17">
        <v>15</v>
      </c>
      <c r="N17" s="16">
        <v>0</v>
      </c>
      <c r="O17" s="17"/>
      <c r="P17" s="16"/>
      <c r="Q17" s="17"/>
      <c r="R17" s="16"/>
      <c r="S17" s="17">
        <v>25</v>
      </c>
      <c r="T17" s="16">
        <v>0</v>
      </c>
      <c r="U17" s="15">
        <v>25</v>
      </c>
      <c r="V17" s="20">
        <v>0</v>
      </c>
      <c r="W17" s="15">
        <v>25</v>
      </c>
      <c r="X17" s="20">
        <v>0</v>
      </c>
      <c r="Y17" s="15">
        <v>25</v>
      </c>
      <c r="Z17" s="20">
        <v>0</v>
      </c>
      <c r="AA17" s="15"/>
      <c r="AB17" s="20"/>
      <c r="AC17" s="17">
        <f t="shared" si="2"/>
        <v>115</v>
      </c>
      <c r="AD17" s="35">
        <f t="shared" si="3"/>
        <v>0</v>
      </c>
      <c r="AE17" s="1">
        <f t="shared" si="4"/>
        <v>1500</v>
      </c>
      <c r="AF17" s="1">
        <f t="shared" si="4"/>
        <v>1014.25</v>
      </c>
      <c r="AG17" s="1">
        <f t="shared" si="1"/>
        <v>-485.75</v>
      </c>
      <c r="AH17" s="44" t="s">
        <v>116</v>
      </c>
      <c r="AI17" s="44">
        <f>+C30</f>
        <v>225</v>
      </c>
      <c r="AJ17" s="44">
        <f>+D30</f>
        <v>125</v>
      </c>
      <c r="AK17" s="49">
        <f t="shared" ref="AK17:AK18" si="7">+AJ17-AI17</f>
        <v>-100</v>
      </c>
      <c r="AL17" s="47">
        <f t="shared" ref="AL17:AL18" si="8">(AJ17-AI17)/AI17</f>
        <v>-0.44444444444444442</v>
      </c>
    </row>
    <row r="18" spans="2:38" x14ac:dyDescent="0.3">
      <c r="B18" s="52" t="s">
        <v>46</v>
      </c>
      <c r="C18" s="15">
        <v>25</v>
      </c>
      <c r="D18" s="16">
        <v>0</v>
      </c>
      <c r="E18" s="17">
        <f>5+5+5+10</f>
        <v>25</v>
      </c>
      <c r="F18" s="16">
        <v>0</v>
      </c>
      <c r="G18" s="17">
        <v>25</v>
      </c>
      <c r="H18" s="16">
        <v>0</v>
      </c>
      <c r="I18" s="17">
        <v>25</v>
      </c>
      <c r="J18" s="16">
        <v>0</v>
      </c>
      <c r="K18" s="17"/>
      <c r="L18" s="16"/>
      <c r="M18" s="17"/>
      <c r="N18" s="16"/>
      <c r="O18" s="17"/>
      <c r="P18" s="16"/>
      <c r="Q18" s="17"/>
      <c r="R18" s="16"/>
      <c r="S18" s="17"/>
      <c r="T18" s="16"/>
      <c r="U18" s="15"/>
      <c r="V18" s="20"/>
      <c r="W18" s="15"/>
      <c r="X18" s="20"/>
      <c r="Y18" s="15"/>
      <c r="Z18" s="20"/>
      <c r="AA18" s="15"/>
      <c r="AB18" s="20"/>
      <c r="AC18" s="17">
        <f t="shared" si="2"/>
        <v>100</v>
      </c>
      <c r="AD18" s="35">
        <f t="shared" si="3"/>
        <v>0</v>
      </c>
      <c r="AE18" s="1">
        <f t="shared" si="4"/>
        <v>1600</v>
      </c>
      <c r="AF18" s="1">
        <f t="shared" si="4"/>
        <v>1014.25</v>
      </c>
      <c r="AG18" s="1">
        <f t="shared" si="1"/>
        <v>-585.75</v>
      </c>
      <c r="AH18" s="44" t="s">
        <v>117</v>
      </c>
      <c r="AI18" s="44">
        <f>+G30</f>
        <v>231</v>
      </c>
      <c r="AJ18" s="44">
        <f>+H30</f>
        <v>0</v>
      </c>
      <c r="AK18" s="49">
        <f t="shared" si="7"/>
        <v>-231</v>
      </c>
      <c r="AL18" s="47">
        <f t="shared" si="8"/>
        <v>-1</v>
      </c>
    </row>
    <row r="19" spans="2:38" ht="15" thickBot="1" x14ac:dyDescent="0.35">
      <c r="B19" s="51" t="s">
        <v>47</v>
      </c>
      <c r="C19" s="15"/>
      <c r="D19" s="16"/>
      <c r="E19" s="17"/>
      <c r="F19" s="16"/>
      <c r="G19" s="17"/>
      <c r="H19" s="16"/>
      <c r="I19" s="17"/>
      <c r="J19" s="16"/>
      <c r="K19" s="17">
        <v>17.5</v>
      </c>
      <c r="L19" s="16">
        <v>0</v>
      </c>
      <c r="M19" s="17">
        <v>25</v>
      </c>
      <c r="N19" s="16">
        <v>0</v>
      </c>
      <c r="O19" s="17">
        <v>20</v>
      </c>
      <c r="P19" s="16">
        <v>0</v>
      </c>
      <c r="Q19" s="17">
        <v>25</v>
      </c>
      <c r="R19" s="16">
        <v>0</v>
      </c>
      <c r="S19" s="17"/>
      <c r="T19" s="16"/>
      <c r="U19" s="15"/>
      <c r="V19" s="20"/>
      <c r="W19" s="15"/>
      <c r="X19" s="20"/>
      <c r="Y19" s="15"/>
      <c r="Z19" s="20"/>
      <c r="AA19" s="15"/>
      <c r="AB19" s="20"/>
      <c r="AC19" s="17">
        <f t="shared" si="2"/>
        <v>87.5</v>
      </c>
      <c r="AD19" s="35">
        <f t="shared" si="3"/>
        <v>0</v>
      </c>
      <c r="AE19" s="1">
        <f t="shared" si="4"/>
        <v>1687.5</v>
      </c>
      <c r="AF19" s="1">
        <f t="shared" si="4"/>
        <v>1014.25</v>
      </c>
      <c r="AG19" s="1">
        <f t="shared" si="1"/>
        <v>-673.25</v>
      </c>
      <c r="AH19" s="1"/>
    </row>
    <row r="20" spans="2:38" ht="15" thickBot="1" x14ac:dyDescent="0.35">
      <c r="B20" s="53" t="s">
        <v>48</v>
      </c>
      <c r="C20" s="15"/>
      <c r="D20" s="16"/>
      <c r="E20" s="17"/>
      <c r="F20" s="16"/>
      <c r="G20" s="17"/>
      <c r="H20" s="16"/>
      <c r="I20" s="17"/>
      <c r="J20" s="16"/>
      <c r="K20" s="17">
        <v>7.5</v>
      </c>
      <c r="L20" s="16">
        <v>0</v>
      </c>
      <c r="M20" s="17"/>
      <c r="N20" s="16"/>
      <c r="O20" s="17">
        <v>5</v>
      </c>
      <c r="P20" s="16">
        <v>0</v>
      </c>
      <c r="Q20" s="17"/>
      <c r="R20" s="16"/>
      <c r="S20" s="17">
        <v>25</v>
      </c>
      <c r="T20" s="16">
        <v>0</v>
      </c>
      <c r="U20" s="15">
        <v>25</v>
      </c>
      <c r="V20" s="20">
        <v>0</v>
      </c>
      <c r="W20" s="15">
        <v>25</v>
      </c>
      <c r="X20" s="20">
        <v>0</v>
      </c>
      <c r="Y20" s="15">
        <v>25</v>
      </c>
      <c r="Z20" s="20">
        <v>0</v>
      </c>
      <c r="AA20" s="15"/>
      <c r="AB20" s="20"/>
      <c r="AC20" s="17">
        <f t="shared" si="2"/>
        <v>112.5</v>
      </c>
      <c r="AD20" s="35">
        <f t="shared" si="3"/>
        <v>0</v>
      </c>
      <c r="AE20" s="1">
        <f t="shared" si="4"/>
        <v>1800</v>
      </c>
      <c r="AF20" s="1">
        <f t="shared" si="4"/>
        <v>1014.25</v>
      </c>
      <c r="AG20" s="1">
        <f t="shared" si="1"/>
        <v>-785.75</v>
      </c>
      <c r="AH20" s="1"/>
    </row>
    <row r="21" spans="2:38" ht="15" thickBot="1" x14ac:dyDescent="0.35">
      <c r="B21" s="52" t="s">
        <v>49</v>
      </c>
      <c r="C21" s="15">
        <f>6+5+4.5+4.5</f>
        <v>20</v>
      </c>
      <c r="D21" s="16">
        <v>45</v>
      </c>
      <c r="E21" s="17">
        <v>15</v>
      </c>
      <c r="F21" s="16">
        <v>0</v>
      </c>
      <c r="G21" s="17">
        <f>10+1+5+10</f>
        <v>26</v>
      </c>
      <c r="H21" s="16">
        <v>0</v>
      </c>
      <c r="I21" s="17">
        <f>5+5+5</f>
        <v>15</v>
      </c>
      <c r="J21" s="16">
        <v>0</v>
      </c>
      <c r="K21" s="17"/>
      <c r="L21" s="16"/>
      <c r="M21" s="17"/>
      <c r="N21" s="16"/>
      <c r="O21" s="17"/>
      <c r="P21" s="16"/>
      <c r="Q21" s="17"/>
      <c r="R21" s="16"/>
      <c r="S21" s="17"/>
      <c r="T21" s="16"/>
      <c r="U21" s="15"/>
      <c r="V21" s="20"/>
      <c r="W21" s="15"/>
      <c r="X21" s="20"/>
      <c r="Y21" s="15"/>
      <c r="Z21" s="20"/>
      <c r="AA21" s="15"/>
      <c r="AB21" s="20"/>
      <c r="AC21" s="17">
        <f t="shared" si="2"/>
        <v>76</v>
      </c>
      <c r="AD21" s="35">
        <f t="shared" si="3"/>
        <v>45</v>
      </c>
      <c r="AE21" s="1">
        <f t="shared" si="4"/>
        <v>1876</v>
      </c>
      <c r="AF21" s="1">
        <f t="shared" si="4"/>
        <v>1059.25</v>
      </c>
      <c r="AG21" s="1">
        <f t="shared" si="1"/>
        <v>-816.75</v>
      </c>
      <c r="AH21" s="1"/>
    </row>
    <row r="22" spans="2:38" x14ac:dyDescent="0.3">
      <c r="B22" s="51" t="s">
        <v>50</v>
      </c>
      <c r="C22" s="15">
        <v>5</v>
      </c>
      <c r="D22" s="16">
        <v>0</v>
      </c>
      <c r="E22" s="17"/>
      <c r="F22" s="16"/>
      <c r="G22" s="17"/>
      <c r="H22" s="16"/>
      <c r="I22" s="17">
        <v>10</v>
      </c>
      <c r="J22" s="16">
        <v>0</v>
      </c>
      <c r="K22" s="17">
        <v>17.5</v>
      </c>
      <c r="L22" s="16">
        <v>0</v>
      </c>
      <c r="M22" s="17"/>
      <c r="N22" s="16"/>
      <c r="O22" s="17">
        <v>25</v>
      </c>
      <c r="P22" s="16">
        <v>0</v>
      </c>
      <c r="Q22" s="17">
        <v>25</v>
      </c>
      <c r="R22" s="16">
        <v>0</v>
      </c>
      <c r="S22" s="17"/>
      <c r="T22" s="16"/>
      <c r="U22" s="15"/>
      <c r="V22" s="20"/>
      <c r="W22" s="15"/>
      <c r="X22" s="20"/>
      <c r="Y22" s="15"/>
      <c r="Z22" s="20"/>
      <c r="AA22" s="15"/>
      <c r="AB22" s="20"/>
      <c r="AC22" s="17">
        <f t="shared" si="2"/>
        <v>82.5</v>
      </c>
      <c r="AD22" s="35">
        <f t="shared" si="3"/>
        <v>0</v>
      </c>
      <c r="AE22" s="1">
        <f t="shared" ref="AE22:AF27" si="9">AE21+AC22</f>
        <v>1958.5</v>
      </c>
      <c r="AF22" s="1">
        <f t="shared" si="9"/>
        <v>1059.25</v>
      </c>
      <c r="AG22" s="1">
        <f t="shared" si="1"/>
        <v>-899.25</v>
      </c>
      <c r="AH22" s="1"/>
    </row>
    <row r="23" spans="2:38" x14ac:dyDescent="0.3">
      <c r="B23" s="53" t="s">
        <v>59</v>
      </c>
      <c r="C23" s="15"/>
      <c r="D23" s="16"/>
      <c r="E23" s="17"/>
      <c r="F23" s="16"/>
      <c r="G23" s="17"/>
      <c r="H23" s="16"/>
      <c r="I23" s="17"/>
      <c r="J23" s="16"/>
      <c r="K23" s="17">
        <v>7.5</v>
      </c>
      <c r="L23" s="16">
        <v>0</v>
      </c>
      <c r="M23" s="17">
        <v>20</v>
      </c>
      <c r="N23" s="16">
        <v>0</v>
      </c>
      <c r="O23" s="17"/>
      <c r="P23" s="16"/>
      <c r="Q23" s="17"/>
      <c r="R23" s="16"/>
      <c r="S23" s="17">
        <v>25</v>
      </c>
      <c r="T23" s="16">
        <v>0</v>
      </c>
      <c r="U23" s="15">
        <v>25</v>
      </c>
      <c r="V23" s="20">
        <v>0</v>
      </c>
      <c r="W23" s="15">
        <v>25</v>
      </c>
      <c r="X23" s="20">
        <v>69.83</v>
      </c>
      <c r="Y23" s="15">
        <v>27</v>
      </c>
      <c r="Z23" s="20">
        <v>0</v>
      </c>
      <c r="AA23" s="15"/>
      <c r="AB23" s="20"/>
      <c r="AC23" s="17">
        <f t="shared" si="2"/>
        <v>129.5</v>
      </c>
      <c r="AD23" s="35">
        <f t="shared" si="3"/>
        <v>69.83</v>
      </c>
      <c r="AE23" s="1">
        <f t="shared" si="9"/>
        <v>2088</v>
      </c>
      <c r="AF23" s="1">
        <f t="shared" si="9"/>
        <v>1129.08</v>
      </c>
      <c r="AG23" s="1">
        <f t="shared" si="1"/>
        <v>-958.92000000000007</v>
      </c>
      <c r="AH23" s="1"/>
    </row>
    <row r="24" spans="2:38" x14ac:dyDescent="0.3">
      <c r="B24" s="52" t="s">
        <v>60</v>
      </c>
      <c r="C24" s="15">
        <v>25</v>
      </c>
      <c r="D24" s="16">
        <v>0</v>
      </c>
      <c r="E24" s="17">
        <f>10+25-5</f>
        <v>30</v>
      </c>
      <c r="F24" s="16">
        <v>0</v>
      </c>
      <c r="G24" s="17">
        <v>30</v>
      </c>
      <c r="H24" s="16">
        <v>0</v>
      </c>
      <c r="I24" s="17">
        <v>25</v>
      </c>
      <c r="J24" s="16">
        <v>0</v>
      </c>
      <c r="K24" s="17"/>
      <c r="L24" s="16"/>
      <c r="M24" s="17"/>
      <c r="N24" s="16"/>
      <c r="O24" s="17"/>
      <c r="P24" s="16"/>
      <c r="Q24" s="17"/>
      <c r="R24" s="16"/>
      <c r="S24" s="17"/>
      <c r="T24" s="16"/>
      <c r="U24" s="15"/>
      <c r="V24" s="20"/>
      <c r="W24" s="15"/>
      <c r="X24" s="20"/>
      <c r="Y24" s="15"/>
      <c r="Z24" s="20"/>
      <c r="AA24" s="15"/>
      <c r="AB24" s="20"/>
      <c r="AC24" s="17">
        <f t="shared" si="2"/>
        <v>110</v>
      </c>
      <c r="AD24" s="35">
        <f t="shared" si="3"/>
        <v>0</v>
      </c>
      <c r="AE24" s="1">
        <f t="shared" si="9"/>
        <v>2198</v>
      </c>
      <c r="AF24" s="1">
        <f t="shared" si="9"/>
        <v>1129.08</v>
      </c>
      <c r="AG24" s="1">
        <f t="shared" si="1"/>
        <v>-1068.92</v>
      </c>
      <c r="AH24" s="1"/>
    </row>
    <row r="25" spans="2:38" x14ac:dyDescent="0.3">
      <c r="B25" s="51" t="s">
        <v>61</v>
      </c>
      <c r="C25" s="15"/>
      <c r="D25" s="16"/>
      <c r="E25" s="17"/>
      <c r="F25" s="16"/>
      <c r="G25" s="17"/>
      <c r="H25" s="16"/>
      <c r="I25" s="17"/>
      <c r="J25" s="16"/>
      <c r="K25" s="17">
        <v>25</v>
      </c>
      <c r="L25" s="16">
        <v>0</v>
      </c>
      <c r="M25" s="17">
        <v>25</v>
      </c>
      <c r="N25" s="16">
        <v>0</v>
      </c>
      <c r="O25" s="17">
        <v>25</v>
      </c>
      <c r="P25" s="16">
        <v>362.5</v>
      </c>
      <c r="Q25" s="17">
        <v>25</v>
      </c>
      <c r="R25" s="16">
        <v>134.65</v>
      </c>
      <c r="S25" s="17"/>
      <c r="T25" s="16"/>
      <c r="U25" s="15"/>
      <c r="V25" s="20"/>
      <c r="W25" s="15"/>
      <c r="X25" s="20"/>
      <c r="Y25" s="15"/>
      <c r="Z25" s="20"/>
      <c r="AA25" s="15"/>
      <c r="AB25" s="20"/>
      <c r="AC25" s="17">
        <f t="shared" si="2"/>
        <v>100</v>
      </c>
      <c r="AD25" s="35">
        <f t="shared" si="3"/>
        <v>497.15</v>
      </c>
      <c r="AE25" s="1">
        <f t="shared" si="9"/>
        <v>2298</v>
      </c>
      <c r="AF25" s="1">
        <f t="shared" si="9"/>
        <v>1626.23</v>
      </c>
      <c r="AG25" s="1">
        <f t="shared" si="1"/>
        <v>-671.77</v>
      </c>
      <c r="AH25" s="1"/>
    </row>
    <row r="26" spans="2:38" x14ac:dyDescent="0.3">
      <c r="B26" s="53" t="s">
        <v>62</v>
      </c>
      <c r="C26" s="15"/>
      <c r="D26" s="16"/>
      <c r="E26" s="17"/>
      <c r="F26" s="16"/>
      <c r="G26" s="17"/>
      <c r="H26" s="16"/>
      <c r="I26" s="17"/>
      <c r="J26" s="16"/>
      <c r="K26" s="17"/>
      <c r="L26" s="16"/>
      <c r="M26" s="17"/>
      <c r="N26" s="16"/>
      <c r="O26" s="17"/>
      <c r="P26" s="16"/>
      <c r="Q26" s="17"/>
      <c r="R26" s="16"/>
      <c r="S26" s="17">
        <v>25</v>
      </c>
      <c r="T26" s="16">
        <v>0</v>
      </c>
      <c r="U26" s="15">
        <v>25</v>
      </c>
      <c r="V26" s="20">
        <v>0</v>
      </c>
      <c r="W26" s="15">
        <v>25</v>
      </c>
      <c r="X26" s="20">
        <v>0</v>
      </c>
      <c r="Y26" s="15">
        <v>25</v>
      </c>
      <c r="Z26" s="20">
        <v>0</v>
      </c>
      <c r="AA26" s="15"/>
      <c r="AB26" s="20"/>
      <c r="AC26" s="17">
        <f t="shared" si="2"/>
        <v>100</v>
      </c>
      <c r="AD26" s="35">
        <f t="shared" si="3"/>
        <v>0</v>
      </c>
      <c r="AE26" s="1">
        <f t="shared" si="9"/>
        <v>2398</v>
      </c>
      <c r="AF26" s="1">
        <f t="shared" si="9"/>
        <v>1626.23</v>
      </c>
      <c r="AG26" s="1">
        <f t="shared" si="1"/>
        <v>-771.77</v>
      </c>
      <c r="AH26" s="1"/>
    </row>
    <row r="27" spans="2:38" x14ac:dyDescent="0.3">
      <c r="B27" s="30" t="s">
        <v>63</v>
      </c>
      <c r="C27" s="15">
        <v>20</v>
      </c>
      <c r="D27" s="16">
        <v>0</v>
      </c>
      <c r="E27" s="17">
        <v>25</v>
      </c>
      <c r="F27" s="16">
        <v>0</v>
      </c>
      <c r="G27" s="17">
        <v>25</v>
      </c>
      <c r="H27" s="16">
        <v>0</v>
      </c>
      <c r="I27" s="17">
        <v>20</v>
      </c>
      <c r="J27" s="16">
        <v>0</v>
      </c>
      <c r="K27" s="17"/>
      <c r="L27" s="16"/>
      <c r="M27" s="17"/>
      <c r="N27" s="16"/>
      <c r="O27" s="17"/>
      <c r="P27" s="16"/>
      <c r="Q27" s="17"/>
      <c r="R27" s="16"/>
      <c r="S27" s="17"/>
      <c r="T27" s="16"/>
      <c r="U27" s="15"/>
      <c r="V27" s="20"/>
      <c r="W27" s="15"/>
      <c r="X27" s="20"/>
      <c r="Y27" s="15"/>
      <c r="Z27" s="20"/>
      <c r="AA27" s="15"/>
      <c r="AB27" s="20"/>
      <c r="AC27" s="17">
        <f t="shared" si="2"/>
        <v>90</v>
      </c>
      <c r="AD27" s="35">
        <f t="shared" si="3"/>
        <v>0</v>
      </c>
      <c r="AE27" s="1">
        <f t="shared" si="9"/>
        <v>2488</v>
      </c>
      <c r="AF27" s="1">
        <f t="shared" si="9"/>
        <v>1626.23</v>
      </c>
      <c r="AG27" s="1">
        <f t="shared" si="1"/>
        <v>-861.77</v>
      </c>
      <c r="AH27" s="1"/>
    </row>
    <row r="28" spans="2:38" x14ac:dyDescent="0.3">
      <c r="B28" s="30" t="s">
        <v>84</v>
      </c>
      <c r="C28" s="15">
        <v>5</v>
      </c>
      <c r="D28" s="16">
        <v>0</v>
      </c>
      <c r="E28" s="17"/>
      <c r="F28" s="16"/>
      <c r="G28" s="17"/>
      <c r="H28" s="16"/>
      <c r="I28" s="17">
        <v>5</v>
      </c>
      <c r="J28" s="16">
        <v>0</v>
      </c>
      <c r="K28" s="17">
        <v>25</v>
      </c>
      <c r="L28" s="16">
        <v>0</v>
      </c>
      <c r="M28" s="17">
        <v>25</v>
      </c>
      <c r="N28" s="16">
        <v>68</v>
      </c>
      <c r="O28" s="17">
        <v>25</v>
      </c>
      <c r="P28" s="16">
        <v>0</v>
      </c>
      <c r="Q28" s="17">
        <v>25</v>
      </c>
      <c r="R28" s="16">
        <v>0</v>
      </c>
      <c r="S28" s="17"/>
      <c r="T28" s="16"/>
      <c r="U28" s="15"/>
      <c r="V28" s="20"/>
      <c r="W28" s="15"/>
      <c r="X28" s="20"/>
      <c r="Y28" s="15"/>
      <c r="Z28" s="20"/>
      <c r="AA28" s="15"/>
      <c r="AB28" s="20"/>
      <c r="AC28" s="17">
        <f t="shared" ref="AC28:AC29" si="10">U28+S28+Q28+O28+M28+K28+I28+G28+E28+C28+W28+Y28</f>
        <v>110</v>
      </c>
      <c r="AD28" s="35">
        <f t="shared" ref="AD28:AD29" si="11">V28+T28+R28+P28+N28+L28+J28+H28+F28+D28+X28+Z28</f>
        <v>68</v>
      </c>
      <c r="AE28" s="1">
        <f t="shared" ref="AE28:AE29" si="12">AE27+AC28</f>
        <v>2598</v>
      </c>
      <c r="AF28" s="1">
        <f t="shared" ref="AF28:AF29" si="13">AF27+AD28</f>
        <v>1694.23</v>
      </c>
      <c r="AG28" s="1">
        <f t="shared" ref="AG28:AG29" si="14">AF28-AE28</f>
        <v>-903.77</v>
      </c>
      <c r="AH28" s="1"/>
    </row>
    <row r="29" spans="2:38" x14ac:dyDescent="0.3">
      <c r="B29" s="30" t="s">
        <v>51</v>
      </c>
      <c r="C29" s="15"/>
      <c r="D29" s="16"/>
      <c r="E29" s="17"/>
      <c r="F29" s="16"/>
      <c r="G29" s="17"/>
      <c r="H29" s="16"/>
      <c r="I29" s="17"/>
      <c r="J29" s="16"/>
      <c r="K29" s="17"/>
      <c r="L29" s="16"/>
      <c r="M29" s="17"/>
      <c r="N29" s="16"/>
      <c r="O29" s="17"/>
      <c r="P29" s="16"/>
      <c r="Q29" s="17"/>
      <c r="R29" s="16"/>
      <c r="S29" s="17">
        <v>25</v>
      </c>
      <c r="T29" s="16">
        <v>0</v>
      </c>
      <c r="U29" s="15">
        <v>0</v>
      </c>
      <c r="V29" s="20">
        <v>0</v>
      </c>
      <c r="W29" s="15">
        <v>0</v>
      </c>
      <c r="X29" s="20">
        <v>0</v>
      </c>
      <c r="Y29" s="15">
        <v>25</v>
      </c>
      <c r="Z29" s="20">
        <v>0</v>
      </c>
      <c r="AA29" s="15"/>
      <c r="AB29" s="20"/>
      <c r="AC29" s="17">
        <f t="shared" si="10"/>
        <v>50</v>
      </c>
      <c r="AD29" s="35">
        <f t="shared" si="11"/>
        <v>0</v>
      </c>
      <c r="AE29" s="1">
        <f t="shared" si="12"/>
        <v>2648</v>
      </c>
      <c r="AF29" s="1">
        <f t="shared" si="13"/>
        <v>1694.23</v>
      </c>
      <c r="AG29" s="1">
        <f t="shared" si="14"/>
        <v>-953.77</v>
      </c>
      <c r="AH29" s="1"/>
    </row>
    <row r="30" spans="2:38" ht="15" thickBot="1" x14ac:dyDescent="0.35">
      <c r="B30" s="11" t="s">
        <v>55</v>
      </c>
      <c r="C30" s="18">
        <f t="shared" ref="C30:AD30" si="15">SUM(C4:C29)</f>
        <v>225</v>
      </c>
      <c r="D30" s="18">
        <f t="shared" si="15"/>
        <v>125</v>
      </c>
      <c r="E30" s="18">
        <f t="shared" si="15"/>
        <v>220</v>
      </c>
      <c r="F30" s="18">
        <f t="shared" si="15"/>
        <v>0</v>
      </c>
      <c r="G30" s="18">
        <f t="shared" si="15"/>
        <v>231</v>
      </c>
      <c r="H30" s="18">
        <f t="shared" si="15"/>
        <v>0</v>
      </c>
      <c r="I30" s="18">
        <f t="shared" si="15"/>
        <v>225</v>
      </c>
      <c r="J30" s="18">
        <f t="shared" si="15"/>
        <v>183.35</v>
      </c>
      <c r="K30" s="18">
        <f t="shared" si="15"/>
        <v>225</v>
      </c>
      <c r="L30" s="18">
        <f t="shared" si="15"/>
        <v>0</v>
      </c>
      <c r="M30" s="18">
        <f t="shared" si="15"/>
        <v>220</v>
      </c>
      <c r="N30" s="18">
        <f t="shared" si="15"/>
        <v>68</v>
      </c>
      <c r="O30" s="18">
        <f t="shared" si="15"/>
        <v>225</v>
      </c>
      <c r="P30" s="18">
        <f t="shared" si="15"/>
        <v>593.76</v>
      </c>
      <c r="Q30" s="18">
        <f t="shared" si="15"/>
        <v>225</v>
      </c>
      <c r="R30" s="18">
        <f t="shared" si="15"/>
        <v>134.65</v>
      </c>
      <c r="S30" s="18">
        <f t="shared" si="15"/>
        <v>225</v>
      </c>
      <c r="T30" s="18">
        <f>SUM(T4:T29)</f>
        <v>268.61</v>
      </c>
      <c r="U30" s="18">
        <f t="shared" si="15"/>
        <v>200</v>
      </c>
      <c r="V30" s="21">
        <f t="shared" si="15"/>
        <v>0</v>
      </c>
      <c r="W30" s="18">
        <f t="shared" ref="W30:X30" si="16">SUM(W4:W29)</f>
        <v>200</v>
      </c>
      <c r="X30" s="21">
        <f t="shared" si="16"/>
        <v>136.07999999999998</v>
      </c>
      <c r="Y30" s="18">
        <f t="shared" ref="Y30:Z30" si="17">SUM(Y4:Y29)</f>
        <v>227</v>
      </c>
      <c r="Z30" s="21">
        <f t="shared" si="17"/>
        <v>184.78</v>
      </c>
      <c r="AA30" s="18">
        <f t="shared" si="15"/>
        <v>0</v>
      </c>
      <c r="AB30" s="21">
        <f t="shared" si="15"/>
        <v>0</v>
      </c>
      <c r="AC30" s="29">
        <f t="shared" si="15"/>
        <v>2648</v>
      </c>
      <c r="AD30" s="18">
        <f t="shared" si="15"/>
        <v>1694.23</v>
      </c>
      <c r="AE30" s="1"/>
    </row>
    <row r="31" spans="2:38" x14ac:dyDescent="0.3">
      <c r="D31" s="56">
        <f>(D30-C30)/C30</f>
        <v>-0.44444444444444442</v>
      </c>
      <c r="F31" s="34">
        <f>(F30-E30)/E30</f>
        <v>-1</v>
      </c>
      <c r="H31" s="34">
        <f>(H30-G30)/G30</f>
        <v>-1</v>
      </c>
      <c r="J31" s="34">
        <f>(J30-I30)/I30</f>
        <v>-0.18511111111111114</v>
      </c>
      <c r="L31" s="28">
        <f>(L30-K30)/K30</f>
        <v>-1</v>
      </c>
      <c r="N31" s="28">
        <f>(N30-M30)/M30</f>
        <v>-0.69090909090909092</v>
      </c>
      <c r="P31" s="28">
        <f>(P30-O30)/O30</f>
        <v>1.6389333333333334</v>
      </c>
      <c r="R31" s="28">
        <f>(R30-Q30)/Q30</f>
        <v>-0.40155555555555555</v>
      </c>
      <c r="T31" s="22">
        <f>(T30-S30)/S30</f>
        <v>0.19382222222222228</v>
      </c>
      <c r="V31" s="28">
        <f>(V30-U30)/U30</f>
        <v>-1</v>
      </c>
      <c r="X31" s="28">
        <f>(X30-W30)/W30</f>
        <v>-0.31960000000000011</v>
      </c>
      <c r="Z31" s="28">
        <f>(Z30-Y30)/Y30</f>
        <v>-0.18599118942731277</v>
      </c>
    </row>
    <row r="32" spans="2:38" x14ac:dyDescent="0.3">
      <c r="F32" s="70" t="s">
        <v>56</v>
      </c>
      <c r="G32" s="71"/>
      <c r="H32" s="72"/>
      <c r="I32" s="68">
        <f>C30+E30+G30+I30+K30+M30+O30+Q30+S30+U30+AA30+W30+Y30</f>
        <v>2648</v>
      </c>
      <c r="J32" s="69"/>
    </row>
    <row r="33" spans="3:25" x14ac:dyDescent="0.3">
      <c r="G33" s="75" t="s">
        <v>57</v>
      </c>
      <c r="H33" s="75"/>
      <c r="I33" s="68">
        <f>+D30+F30+H30+J30+L30+N30+P30+R30+T30+V30+AB30+X30+Z30</f>
        <v>1694.2299999999998</v>
      </c>
      <c r="J33" s="69"/>
    </row>
    <row r="34" spans="3:25" x14ac:dyDescent="0.3">
      <c r="I34" s="68">
        <f>I33-I32</f>
        <v>-953.77000000000021</v>
      </c>
      <c r="J34" s="69"/>
      <c r="Y34">
        <f>2167+183+5*10</f>
        <v>2400</v>
      </c>
    </row>
    <row r="35" spans="3:25" x14ac:dyDescent="0.3">
      <c r="C35" s="36">
        <f>C30+E30+G30+I30</f>
        <v>901</v>
      </c>
      <c r="D35" s="36">
        <f>D30+F30+H30+J30</f>
        <v>308.35000000000002</v>
      </c>
      <c r="E35" s="37">
        <f>D35-C35</f>
        <v>-592.65</v>
      </c>
      <c r="I35" s="38">
        <f>O30+K30+M30+Q30</f>
        <v>895</v>
      </c>
      <c r="J35" s="38">
        <f>P30+L30+N30</f>
        <v>661.76</v>
      </c>
      <c r="K35" s="39">
        <f>J35-I35</f>
        <v>-233.24</v>
      </c>
      <c r="O35" s="40">
        <f>U30+W30+Y30+S30</f>
        <v>852</v>
      </c>
      <c r="P35" s="40">
        <f>V30+X30+T30+Z30</f>
        <v>589.47</v>
      </c>
      <c r="Q35" s="41">
        <f>P35-O35</f>
        <v>-262.52999999999997</v>
      </c>
      <c r="X35" s="55"/>
      <c r="Y35">
        <f>15*10</f>
        <v>150</v>
      </c>
    </row>
    <row r="36" spans="3:25" x14ac:dyDescent="0.3">
      <c r="C36" s="36"/>
      <c r="D36" s="34">
        <f>(D35-C35)/C35</f>
        <v>-0.65776914539400666</v>
      </c>
      <c r="E36" s="37"/>
      <c r="I36" s="38"/>
      <c r="J36" s="34">
        <f>(J35-I35)/I35</f>
        <v>-0.26060335195530726</v>
      </c>
      <c r="K36" s="39"/>
      <c r="O36" s="40"/>
      <c r="P36" s="34">
        <f>(P35-O35)/O35</f>
        <v>-0.30813380281690139</v>
      </c>
      <c r="Q36" s="41"/>
      <c r="X36" s="55"/>
    </row>
    <row r="37" spans="3:25" x14ac:dyDescent="0.3">
      <c r="G37" t="s">
        <v>58</v>
      </c>
      <c r="I37">
        <v>2400.0500000000002</v>
      </c>
    </row>
    <row r="39" spans="3:25" x14ac:dyDescent="0.3">
      <c r="G39" s="42" t="s">
        <v>64</v>
      </c>
      <c r="H39" s="42"/>
      <c r="I39" s="76">
        <f>I37+I34</f>
        <v>1446.28</v>
      </c>
      <c r="J39" s="76"/>
      <c r="M39" s="33"/>
    </row>
    <row r="41" spans="3:25" x14ac:dyDescent="0.3">
      <c r="X41" s="55"/>
    </row>
    <row r="43" spans="3:25" x14ac:dyDescent="0.3">
      <c r="C43" s="1">
        <f>C30+E30+G30+I30</f>
        <v>901</v>
      </c>
      <c r="D43" s="1">
        <f>D30+F30+H30+J30</f>
        <v>308.35000000000002</v>
      </c>
      <c r="I43" s="1">
        <f>O30+K30+M30</f>
        <v>670</v>
      </c>
      <c r="J43" s="1">
        <f>P30+L30+N30</f>
        <v>661.76</v>
      </c>
      <c r="O43" s="1">
        <f>U30+Q30+S30</f>
        <v>650</v>
      </c>
      <c r="P43" s="1">
        <f>V30+R30+T30</f>
        <v>403.26</v>
      </c>
    </row>
    <row r="44" spans="3:25" x14ac:dyDescent="0.3">
      <c r="D44" s="1">
        <f>D43-C43</f>
        <v>-592.65</v>
      </c>
      <c r="J44" s="33">
        <f>J43-I43</f>
        <v>-8.2400000000000091</v>
      </c>
      <c r="P44" s="33">
        <f>P43-O43</f>
        <v>-246.74</v>
      </c>
    </row>
    <row r="46" spans="3:25" x14ac:dyDescent="0.3">
      <c r="V46" t="s">
        <v>118</v>
      </c>
    </row>
    <row r="47" spans="3:25" x14ac:dyDescent="0.3">
      <c r="D47" t="s">
        <v>88</v>
      </c>
      <c r="J47" t="s">
        <v>119</v>
      </c>
      <c r="V47" t="s">
        <v>89</v>
      </c>
      <c r="W47">
        <v>9</v>
      </c>
    </row>
    <row r="48" spans="3:25" x14ac:dyDescent="0.3">
      <c r="D48" t="s">
        <v>90</v>
      </c>
      <c r="E48" t="s">
        <v>91</v>
      </c>
      <c r="J48" t="s">
        <v>90</v>
      </c>
      <c r="K48" t="s">
        <v>112</v>
      </c>
      <c r="V48" t="s">
        <v>12</v>
      </c>
      <c r="W48">
        <v>6</v>
      </c>
    </row>
    <row r="49" spans="4:23" x14ac:dyDescent="0.3">
      <c r="D49" t="s">
        <v>92</v>
      </c>
      <c r="E49" s="1">
        <f>SUM(V30)</f>
        <v>0</v>
      </c>
      <c r="J49" t="s">
        <v>92</v>
      </c>
      <c r="K49">
        <v>4</v>
      </c>
      <c r="V49" t="s">
        <v>93</v>
      </c>
      <c r="W49">
        <v>7</v>
      </c>
    </row>
    <row r="50" spans="4:23" x14ac:dyDescent="0.3">
      <c r="D50" t="s">
        <v>12</v>
      </c>
      <c r="E50" s="1">
        <f>SUM(L30)</f>
        <v>0</v>
      </c>
      <c r="J50" t="s">
        <v>12</v>
      </c>
      <c r="K50">
        <v>1</v>
      </c>
      <c r="V50" t="s">
        <v>92</v>
      </c>
      <c r="W50">
        <v>2</v>
      </c>
    </row>
    <row r="51" spans="4:23" x14ac:dyDescent="0.3">
      <c r="D51" t="s">
        <v>94</v>
      </c>
      <c r="E51" s="1">
        <f>SUM(T30)</f>
        <v>268.61</v>
      </c>
      <c r="J51" t="s">
        <v>94</v>
      </c>
      <c r="K51">
        <v>1</v>
      </c>
      <c r="V51" t="s">
        <v>9</v>
      </c>
      <c r="W51">
        <v>4</v>
      </c>
    </row>
    <row r="52" spans="4:23" x14ac:dyDescent="0.3">
      <c r="D52" t="s">
        <v>95</v>
      </c>
      <c r="E52" s="1">
        <f>SUM(F30)</f>
        <v>0</v>
      </c>
      <c r="J52" t="s">
        <v>95</v>
      </c>
      <c r="K52">
        <v>3</v>
      </c>
      <c r="V52" t="s">
        <v>11</v>
      </c>
      <c r="W52">
        <v>2</v>
      </c>
    </row>
    <row r="53" spans="4:23" x14ac:dyDescent="0.3">
      <c r="D53" t="s">
        <v>93</v>
      </c>
      <c r="E53" s="1">
        <f>SUM(J30)</f>
        <v>183.35</v>
      </c>
      <c r="J53" t="s">
        <v>93</v>
      </c>
      <c r="K53">
        <v>3</v>
      </c>
      <c r="V53" t="s">
        <v>96</v>
      </c>
      <c r="W53">
        <v>4</v>
      </c>
    </row>
    <row r="54" spans="4:23" x14ac:dyDescent="0.3">
      <c r="D54" t="s">
        <v>97</v>
      </c>
      <c r="E54" s="1">
        <f>SUM(R30)</f>
        <v>134.65</v>
      </c>
      <c r="J54" t="s">
        <v>97</v>
      </c>
      <c r="K54">
        <v>4</v>
      </c>
      <c r="V54" t="s">
        <v>98</v>
      </c>
      <c r="W54">
        <v>2</v>
      </c>
    </row>
    <row r="55" spans="4:23" x14ac:dyDescent="0.3">
      <c r="D55" t="s">
        <v>98</v>
      </c>
      <c r="E55" s="1">
        <f>SUM(N30)</f>
        <v>68</v>
      </c>
      <c r="J55" t="s">
        <v>98</v>
      </c>
      <c r="K55">
        <v>2</v>
      </c>
      <c r="V55" t="s">
        <v>97</v>
      </c>
      <c r="W55">
        <v>6</v>
      </c>
    </row>
    <row r="56" spans="4:23" x14ac:dyDescent="0.3">
      <c r="D56" t="s">
        <v>89</v>
      </c>
      <c r="E56" s="1">
        <f>SUM(X30)</f>
        <v>136.07999999999998</v>
      </c>
      <c r="J56" t="s">
        <v>89</v>
      </c>
      <c r="K56">
        <v>0</v>
      </c>
      <c r="V56" t="s">
        <v>94</v>
      </c>
      <c r="W56">
        <v>5</v>
      </c>
    </row>
    <row r="57" spans="4:23" x14ac:dyDescent="0.3">
      <c r="D57" t="s">
        <v>96</v>
      </c>
      <c r="E57" s="1">
        <f>SUM(Z30)</f>
        <v>184.78</v>
      </c>
      <c r="J57" t="s">
        <v>96</v>
      </c>
      <c r="K57">
        <v>1</v>
      </c>
      <c r="V57" t="s">
        <v>120</v>
      </c>
      <c r="W57">
        <v>3</v>
      </c>
    </row>
    <row r="58" spans="4:23" x14ac:dyDescent="0.3">
      <c r="D58" t="s">
        <v>120</v>
      </c>
      <c r="E58" s="1">
        <f>SUM(H30)</f>
        <v>0</v>
      </c>
      <c r="J58" t="s">
        <v>120</v>
      </c>
      <c r="K58">
        <v>2</v>
      </c>
      <c r="V58" t="s">
        <v>121</v>
      </c>
      <c r="W58">
        <v>1</v>
      </c>
    </row>
    <row r="59" spans="4:23" x14ac:dyDescent="0.3">
      <c r="D59" t="s">
        <v>121</v>
      </c>
      <c r="E59" s="1">
        <f>SUM(D30)</f>
        <v>125</v>
      </c>
      <c r="J59" t="s">
        <v>121</v>
      </c>
      <c r="K59">
        <v>2</v>
      </c>
      <c r="V59" t="s">
        <v>99</v>
      </c>
      <c r="W59">
        <f>SUM(W47:W58)</f>
        <v>51</v>
      </c>
    </row>
    <row r="60" spans="4:23" x14ac:dyDescent="0.3">
      <c r="D60" t="s">
        <v>9</v>
      </c>
      <c r="E60" s="1">
        <f>SUM(P30)</f>
        <v>593.76</v>
      </c>
      <c r="J60" t="s">
        <v>9</v>
      </c>
      <c r="K60">
        <v>0</v>
      </c>
    </row>
    <row r="61" spans="4:23" x14ac:dyDescent="0.3">
      <c r="D61" t="s">
        <v>99</v>
      </c>
      <c r="E61" s="1">
        <f>SUM(E49:E60)</f>
        <v>1694.23</v>
      </c>
      <c r="J61" t="s">
        <v>99</v>
      </c>
      <c r="K61">
        <f>SUM(K49:K60)</f>
        <v>23</v>
      </c>
    </row>
  </sheetData>
  <mergeCells count="21">
    <mergeCell ref="AA2:AB2"/>
    <mergeCell ref="AC2:AD2"/>
    <mergeCell ref="C2:D2"/>
    <mergeCell ref="E2:F2"/>
    <mergeCell ref="G2:H2"/>
    <mergeCell ref="I2:J2"/>
    <mergeCell ref="K2:L2"/>
    <mergeCell ref="M2:N2"/>
    <mergeCell ref="G33:H33"/>
    <mergeCell ref="I33:J33"/>
    <mergeCell ref="I34:J34"/>
    <mergeCell ref="I39:J39"/>
    <mergeCell ref="O2:P2"/>
    <mergeCell ref="W1:X1"/>
    <mergeCell ref="W2:X2"/>
    <mergeCell ref="Y2:Z2"/>
    <mergeCell ref="F32:H32"/>
    <mergeCell ref="I32:J32"/>
    <mergeCell ref="Q2:R2"/>
    <mergeCell ref="S2:T2"/>
    <mergeCell ref="U2:V2"/>
  </mergeCells>
  <pageMargins left="0.25" right="0.25" top="0.75" bottom="0.75" header="0.3" footer="0.3"/>
  <pageSetup paperSize="8"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81C0-C60A-48E0-A96A-1599E0795A8C}">
  <dimension ref="A1:G52"/>
  <sheetViews>
    <sheetView topLeftCell="A6" workbookViewId="0">
      <selection activeCell="F26" sqref="F26"/>
    </sheetView>
  </sheetViews>
  <sheetFormatPr defaultRowHeight="14.4" x14ac:dyDescent="0.3"/>
  <cols>
    <col min="1" max="1" width="10" customWidth="1"/>
    <col min="2" max="2" width="13.33203125" customWidth="1"/>
    <col min="3" max="3" width="20.44140625" customWidth="1"/>
    <col min="4" max="4" width="39.33203125" customWidth="1"/>
  </cols>
  <sheetData>
    <row r="1" spans="1:7" x14ac:dyDescent="0.3">
      <c r="A1" t="s">
        <v>122</v>
      </c>
      <c r="B1" t="s">
        <v>123</v>
      </c>
      <c r="C1" t="s">
        <v>124</v>
      </c>
      <c r="D1" t="s">
        <v>125</v>
      </c>
      <c r="E1" t="s">
        <v>92</v>
      </c>
      <c r="F1">
        <f>IF(COUNTIF(A:A, E1)=0, "", SUMIF(A:A, E1, C:C))</f>
        <v>123.2</v>
      </c>
      <c r="G1">
        <f>COUNTIF(A1:A80, E1)</f>
        <v>2</v>
      </c>
    </row>
    <row r="2" spans="1:7" x14ac:dyDescent="0.3">
      <c r="A2" t="s">
        <v>97</v>
      </c>
      <c r="B2" t="s">
        <v>126</v>
      </c>
      <c r="C2" s="59">
        <v>376.63</v>
      </c>
      <c r="D2" t="s">
        <v>127</v>
      </c>
      <c r="E2" t="s">
        <v>12</v>
      </c>
      <c r="F2">
        <f t="shared" ref="F2:F12" si="0">IF(COUNTIF(A:A, E2)=0, "", SUMIF(A:A, E2, C:C))</f>
        <v>826.38</v>
      </c>
      <c r="G2">
        <f>COUNTIF(A1:A80, E2)</f>
        <v>7</v>
      </c>
    </row>
    <row r="3" spans="1:7" x14ac:dyDescent="0.3">
      <c r="A3" t="s">
        <v>93</v>
      </c>
      <c r="B3" t="s">
        <v>126</v>
      </c>
      <c r="C3" s="59">
        <v>236.2</v>
      </c>
      <c r="D3" t="s">
        <v>128</v>
      </c>
      <c r="E3" t="s">
        <v>94</v>
      </c>
      <c r="F3">
        <f t="shared" si="0"/>
        <v>612.5</v>
      </c>
      <c r="G3">
        <f>COUNTIF(A1:A80, E3)</f>
        <v>5</v>
      </c>
    </row>
    <row r="4" spans="1:7" x14ac:dyDescent="0.3">
      <c r="A4" t="s">
        <v>97</v>
      </c>
      <c r="B4" s="60">
        <v>5</v>
      </c>
      <c r="C4" s="59">
        <v>375.45</v>
      </c>
      <c r="D4" t="s">
        <v>129</v>
      </c>
      <c r="E4" t="s">
        <v>95</v>
      </c>
      <c r="F4">
        <f t="shared" si="0"/>
        <v>60</v>
      </c>
      <c r="G4">
        <f t="shared" ref="G4" si="1">COUNTIF(A4:A83, E4)</f>
        <v>1</v>
      </c>
    </row>
    <row r="5" spans="1:7" x14ac:dyDescent="0.3">
      <c r="A5" t="s">
        <v>96</v>
      </c>
      <c r="B5" s="59">
        <v>7.5</v>
      </c>
      <c r="C5" s="59">
        <v>82.5</v>
      </c>
      <c r="D5" t="s">
        <v>130</v>
      </c>
      <c r="E5" t="s">
        <v>93</v>
      </c>
      <c r="F5">
        <f t="shared" si="0"/>
        <v>743.04</v>
      </c>
      <c r="G5">
        <f t="shared" ref="G5" si="2">COUNTIF(A4:A83, E5)</f>
        <v>5</v>
      </c>
    </row>
    <row r="6" spans="1:7" x14ac:dyDescent="0.3">
      <c r="A6" t="s">
        <v>12</v>
      </c>
      <c r="B6" s="59">
        <v>7.5</v>
      </c>
      <c r="C6" s="59">
        <v>163.13</v>
      </c>
      <c r="D6" t="s">
        <v>131</v>
      </c>
      <c r="E6" t="s">
        <v>97</v>
      </c>
      <c r="F6">
        <f t="shared" si="0"/>
        <v>1325.98</v>
      </c>
      <c r="G6">
        <f t="shared" ref="G6" si="3">COUNTIF(A4:A83, E6)</f>
        <v>5</v>
      </c>
    </row>
    <row r="7" spans="1:7" x14ac:dyDescent="0.3">
      <c r="A7" t="s">
        <v>89</v>
      </c>
      <c r="B7" s="60">
        <v>5</v>
      </c>
      <c r="C7" s="60">
        <v>70</v>
      </c>
      <c r="D7" t="s">
        <v>132</v>
      </c>
      <c r="E7" t="s">
        <v>98</v>
      </c>
      <c r="F7">
        <f t="shared" si="0"/>
        <v>311.38</v>
      </c>
      <c r="G7">
        <f t="shared" ref="G7" si="4">COUNTIF(A7:A86, E7)</f>
        <v>2</v>
      </c>
    </row>
    <row r="8" spans="1:7" x14ac:dyDescent="0.3">
      <c r="A8" t="s">
        <v>89</v>
      </c>
      <c r="B8" s="60">
        <v>5</v>
      </c>
      <c r="C8" s="60">
        <v>110</v>
      </c>
      <c r="D8" t="s">
        <v>133</v>
      </c>
      <c r="E8" t="s">
        <v>89</v>
      </c>
      <c r="F8">
        <f t="shared" si="0"/>
        <v>661.05</v>
      </c>
      <c r="G8">
        <f t="shared" ref="G8" si="5">COUNTIF(A7:A86, E8)</f>
        <v>9</v>
      </c>
    </row>
    <row r="9" spans="1:7" x14ac:dyDescent="0.3">
      <c r="A9" t="s">
        <v>12</v>
      </c>
      <c r="B9" s="60">
        <v>10</v>
      </c>
      <c r="C9" s="60">
        <v>77</v>
      </c>
      <c r="D9" t="s">
        <v>134</v>
      </c>
      <c r="E9" t="s">
        <v>96</v>
      </c>
      <c r="F9">
        <f t="shared" si="0"/>
        <v>208.8</v>
      </c>
      <c r="G9">
        <f t="shared" ref="G9" si="6">COUNTIF(A7:A86, E9)</f>
        <v>3</v>
      </c>
    </row>
    <row r="10" spans="1:7" x14ac:dyDescent="0.3">
      <c r="A10" t="s">
        <v>97</v>
      </c>
      <c r="B10" s="60">
        <v>5</v>
      </c>
      <c r="C10" s="60">
        <v>125</v>
      </c>
      <c r="D10" t="s">
        <v>135</v>
      </c>
      <c r="E10" t="s">
        <v>120</v>
      </c>
      <c r="F10">
        <f t="shared" si="0"/>
        <v>1134.25</v>
      </c>
      <c r="G10">
        <f t="shared" ref="G10" si="7">COUNTIF(A10:A89, E10)</f>
        <v>3</v>
      </c>
    </row>
    <row r="11" spans="1:7" x14ac:dyDescent="0.3">
      <c r="A11" t="s">
        <v>97</v>
      </c>
      <c r="B11" s="60">
        <v>10</v>
      </c>
      <c r="C11" s="60">
        <v>150</v>
      </c>
      <c r="D11" t="s">
        <v>136</v>
      </c>
      <c r="E11" t="s">
        <v>121</v>
      </c>
      <c r="F11">
        <f t="shared" si="0"/>
        <v>700</v>
      </c>
      <c r="G11">
        <f t="shared" ref="G11" si="8">COUNTIF(A10:A89, E11)</f>
        <v>1</v>
      </c>
    </row>
    <row r="12" spans="1:7" x14ac:dyDescent="0.3">
      <c r="A12" t="s">
        <v>89</v>
      </c>
      <c r="B12" s="60">
        <v>5</v>
      </c>
      <c r="C12" s="59">
        <v>72.5</v>
      </c>
      <c r="D12" t="s">
        <v>137</v>
      </c>
      <c r="E12" t="s">
        <v>9</v>
      </c>
      <c r="F12">
        <f t="shared" si="0"/>
        <v>421.87</v>
      </c>
      <c r="G12">
        <f t="shared" ref="G12" si="9">COUNTIF(A10:A89, E12)</f>
        <v>4</v>
      </c>
    </row>
    <row r="13" spans="1:7" x14ac:dyDescent="0.3">
      <c r="A13" t="s">
        <v>96</v>
      </c>
      <c r="B13" s="59">
        <v>2.5</v>
      </c>
      <c r="C13" s="59">
        <v>46.3</v>
      </c>
      <c r="D13" t="s">
        <v>138</v>
      </c>
      <c r="F13" s="61">
        <f>SUM(F1:F12)</f>
        <v>7128.45</v>
      </c>
    </row>
    <row r="14" spans="1:7" x14ac:dyDescent="0.3">
      <c r="A14" t="s">
        <v>89</v>
      </c>
      <c r="B14" s="60">
        <v>5</v>
      </c>
      <c r="C14" s="60">
        <v>30</v>
      </c>
      <c r="D14" t="s">
        <v>139</v>
      </c>
    </row>
    <row r="15" spans="1:7" x14ac:dyDescent="0.3">
      <c r="A15" t="s">
        <v>96</v>
      </c>
      <c r="B15" s="60">
        <v>5</v>
      </c>
      <c r="C15" s="60">
        <v>60</v>
      </c>
      <c r="D15" t="s">
        <v>140</v>
      </c>
    </row>
    <row r="16" spans="1:7" x14ac:dyDescent="0.3">
      <c r="A16" t="s">
        <v>120</v>
      </c>
      <c r="B16" s="60">
        <v>25</v>
      </c>
      <c r="C16" s="59">
        <v>411.75</v>
      </c>
      <c r="D16" t="s">
        <v>141</v>
      </c>
    </row>
    <row r="17" spans="1:4" x14ac:dyDescent="0.3">
      <c r="A17" t="s">
        <v>93</v>
      </c>
      <c r="B17" s="60">
        <v>5</v>
      </c>
      <c r="C17" s="59">
        <v>79.67</v>
      </c>
      <c r="D17" t="s">
        <v>142</v>
      </c>
    </row>
    <row r="18" spans="1:4" x14ac:dyDescent="0.3">
      <c r="A18" t="s">
        <v>95</v>
      </c>
      <c r="B18" s="60">
        <v>5</v>
      </c>
      <c r="C18" s="60">
        <v>60</v>
      </c>
      <c r="D18" t="s">
        <v>143</v>
      </c>
    </row>
    <row r="19" spans="1:4" x14ac:dyDescent="0.3">
      <c r="A19" t="s">
        <v>9</v>
      </c>
      <c r="B19" s="60">
        <v>5</v>
      </c>
      <c r="C19" s="60">
        <v>140</v>
      </c>
      <c r="D19" t="s">
        <v>144</v>
      </c>
    </row>
    <row r="20" spans="1:4" x14ac:dyDescent="0.3">
      <c r="A20" t="s">
        <v>96</v>
      </c>
      <c r="B20" s="60">
        <v>5</v>
      </c>
      <c r="C20" s="60">
        <v>20</v>
      </c>
      <c r="D20" t="s">
        <v>145</v>
      </c>
    </row>
    <row r="21" spans="1:4" x14ac:dyDescent="0.3">
      <c r="A21" t="s">
        <v>89</v>
      </c>
      <c r="B21" s="60">
        <v>5</v>
      </c>
      <c r="C21" s="59">
        <v>43.75</v>
      </c>
      <c r="D21" t="s">
        <v>146</v>
      </c>
    </row>
    <row r="22" spans="1:4" x14ac:dyDescent="0.3">
      <c r="A22" t="s">
        <v>92</v>
      </c>
      <c r="B22" s="60">
        <v>5</v>
      </c>
      <c r="C22" s="59">
        <v>19.2</v>
      </c>
      <c r="D22" t="s">
        <v>147</v>
      </c>
    </row>
    <row r="23" spans="1:4" x14ac:dyDescent="0.3">
      <c r="A23" t="s">
        <v>9</v>
      </c>
      <c r="B23" t="s">
        <v>148</v>
      </c>
      <c r="C23" s="59">
        <v>19.37</v>
      </c>
      <c r="D23" t="s">
        <v>149</v>
      </c>
    </row>
    <row r="24" spans="1:4" x14ac:dyDescent="0.3">
      <c r="A24" t="s">
        <v>98</v>
      </c>
      <c r="B24" s="60">
        <v>20</v>
      </c>
      <c r="C24" s="59">
        <v>188.88</v>
      </c>
      <c r="D24" t="s">
        <v>150</v>
      </c>
    </row>
    <row r="25" spans="1:4" x14ac:dyDescent="0.3">
      <c r="A25" t="s">
        <v>97</v>
      </c>
      <c r="B25" s="60">
        <v>5</v>
      </c>
      <c r="C25" s="60">
        <v>180</v>
      </c>
      <c r="D25" t="s">
        <v>151</v>
      </c>
    </row>
    <row r="26" spans="1:4" x14ac:dyDescent="0.3">
      <c r="A26" t="s">
        <v>94</v>
      </c>
      <c r="B26" t="s">
        <v>152</v>
      </c>
      <c r="C26" s="59">
        <v>98.75</v>
      </c>
      <c r="D26" t="s">
        <v>153</v>
      </c>
    </row>
    <row r="27" spans="1:4" x14ac:dyDescent="0.3">
      <c r="A27" t="s">
        <v>89</v>
      </c>
      <c r="B27" s="60">
        <v>5</v>
      </c>
      <c r="C27" s="60">
        <v>40</v>
      </c>
      <c r="D27" t="s">
        <v>154</v>
      </c>
    </row>
    <row r="28" spans="1:4" x14ac:dyDescent="0.3">
      <c r="A28" t="s">
        <v>94</v>
      </c>
      <c r="B28" t="s">
        <v>152</v>
      </c>
      <c r="C28" s="59">
        <v>103.75</v>
      </c>
      <c r="D28" t="s">
        <v>155</v>
      </c>
    </row>
    <row r="29" spans="1:4" x14ac:dyDescent="0.3">
      <c r="A29" t="s">
        <v>120</v>
      </c>
      <c r="B29" s="60">
        <v>10</v>
      </c>
      <c r="C29" s="59">
        <v>197.5</v>
      </c>
      <c r="D29" t="s">
        <v>156</v>
      </c>
    </row>
    <row r="30" spans="1:4" x14ac:dyDescent="0.3">
      <c r="A30" t="s">
        <v>121</v>
      </c>
      <c r="B30" s="60">
        <v>5</v>
      </c>
      <c r="C30" s="60">
        <v>700</v>
      </c>
      <c r="D30" t="s">
        <v>157</v>
      </c>
    </row>
    <row r="31" spans="1:4" x14ac:dyDescent="0.3">
      <c r="A31" t="s">
        <v>12</v>
      </c>
      <c r="B31" s="60">
        <v>20</v>
      </c>
      <c r="C31" s="60">
        <v>170</v>
      </c>
      <c r="D31" t="s">
        <v>158</v>
      </c>
    </row>
    <row r="32" spans="1:4" x14ac:dyDescent="0.3">
      <c r="A32" t="s">
        <v>94</v>
      </c>
      <c r="B32" s="60">
        <v>5</v>
      </c>
      <c r="C32" s="59">
        <v>148.75</v>
      </c>
      <c r="D32" t="s">
        <v>159</v>
      </c>
    </row>
    <row r="33" spans="1:4" x14ac:dyDescent="0.3">
      <c r="A33" t="s">
        <v>92</v>
      </c>
      <c r="B33" s="60">
        <v>10</v>
      </c>
      <c r="C33" s="59">
        <v>104</v>
      </c>
      <c r="D33" t="s">
        <v>160</v>
      </c>
    </row>
    <row r="34" spans="1:4" x14ac:dyDescent="0.3">
      <c r="A34" t="s">
        <v>98</v>
      </c>
      <c r="B34" s="60">
        <v>10</v>
      </c>
      <c r="C34" s="59">
        <v>122.5</v>
      </c>
      <c r="D34" t="s">
        <v>161</v>
      </c>
    </row>
    <row r="35" spans="1:4" x14ac:dyDescent="0.3">
      <c r="A35" t="s">
        <v>89</v>
      </c>
      <c r="B35" s="60">
        <v>15</v>
      </c>
      <c r="C35" s="59">
        <v>35.549999999999997</v>
      </c>
      <c r="D35" t="s">
        <v>162</v>
      </c>
    </row>
    <row r="36" spans="1:4" x14ac:dyDescent="0.3">
      <c r="A36" t="s">
        <v>93</v>
      </c>
      <c r="B36" t="s">
        <v>163</v>
      </c>
      <c r="C36" s="59">
        <v>37.5</v>
      </c>
      <c r="D36" t="s">
        <v>164</v>
      </c>
    </row>
    <row r="37" spans="1:4" x14ac:dyDescent="0.3">
      <c r="A37" t="s">
        <v>120</v>
      </c>
      <c r="B37" s="60">
        <v>10</v>
      </c>
      <c r="C37" s="60">
        <v>525</v>
      </c>
      <c r="D37" t="s">
        <v>165</v>
      </c>
    </row>
    <row r="38" spans="1:4" x14ac:dyDescent="0.3">
      <c r="A38" t="s">
        <v>94</v>
      </c>
      <c r="B38" t="s">
        <v>152</v>
      </c>
      <c r="C38" s="60">
        <v>95</v>
      </c>
      <c r="D38" t="s">
        <v>166</v>
      </c>
    </row>
    <row r="39" spans="1:4" x14ac:dyDescent="0.3">
      <c r="A39" t="s">
        <v>12</v>
      </c>
      <c r="B39" s="59">
        <v>7.5</v>
      </c>
      <c r="C39" s="59">
        <v>63.75</v>
      </c>
      <c r="D39" t="s">
        <v>166</v>
      </c>
    </row>
    <row r="40" spans="1:4" x14ac:dyDescent="0.3">
      <c r="A40" t="s">
        <v>89</v>
      </c>
      <c r="B40" s="60">
        <v>7</v>
      </c>
      <c r="C40" s="59">
        <v>106.75</v>
      </c>
      <c r="D40" t="s">
        <v>167</v>
      </c>
    </row>
    <row r="41" spans="1:4" x14ac:dyDescent="0.3">
      <c r="A41" t="s">
        <v>11</v>
      </c>
      <c r="B41" s="60">
        <v>15</v>
      </c>
      <c r="C41" s="59">
        <v>157.5</v>
      </c>
      <c r="D41" t="s">
        <v>168</v>
      </c>
    </row>
    <row r="42" spans="1:4" x14ac:dyDescent="0.3">
      <c r="A42" t="s">
        <v>9</v>
      </c>
      <c r="B42" s="60">
        <v>10</v>
      </c>
      <c r="C42" s="60">
        <v>105</v>
      </c>
      <c r="D42" t="s">
        <v>169</v>
      </c>
    </row>
    <row r="43" spans="1:4" x14ac:dyDescent="0.3">
      <c r="A43" t="s">
        <v>94</v>
      </c>
      <c r="B43" s="60">
        <v>5</v>
      </c>
      <c r="C43" s="59">
        <v>166.25</v>
      </c>
      <c r="D43" t="s">
        <v>170</v>
      </c>
    </row>
    <row r="44" spans="1:4" x14ac:dyDescent="0.3">
      <c r="A44" t="s">
        <v>12</v>
      </c>
      <c r="B44" s="59">
        <v>7.5</v>
      </c>
      <c r="C44" s="60">
        <v>90</v>
      </c>
      <c r="D44" t="s">
        <v>171</v>
      </c>
    </row>
    <row r="45" spans="1:4" x14ac:dyDescent="0.3">
      <c r="A45" t="s">
        <v>93</v>
      </c>
      <c r="B45" t="s">
        <v>152</v>
      </c>
      <c r="C45" s="59">
        <v>146.19999999999999</v>
      </c>
      <c r="D45" t="s">
        <v>172</v>
      </c>
    </row>
    <row r="46" spans="1:4" x14ac:dyDescent="0.3">
      <c r="A46" t="s">
        <v>93</v>
      </c>
      <c r="B46" t="s">
        <v>152</v>
      </c>
      <c r="C46" s="59">
        <v>155.30000000000001</v>
      </c>
      <c r="D46" t="s">
        <v>173</v>
      </c>
    </row>
    <row r="47" spans="1:4" x14ac:dyDescent="0.3">
      <c r="A47" t="s">
        <v>97</v>
      </c>
      <c r="B47" s="60">
        <v>10</v>
      </c>
      <c r="C47" s="59">
        <v>118.9</v>
      </c>
      <c r="D47" t="s">
        <v>174</v>
      </c>
    </row>
    <row r="48" spans="1:4" x14ac:dyDescent="0.3">
      <c r="A48" t="s">
        <v>12</v>
      </c>
      <c r="B48" s="59">
        <v>7.5</v>
      </c>
      <c r="C48" s="59">
        <v>127.5</v>
      </c>
      <c r="D48" t="s">
        <v>175</v>
      </c>
    </row>
    <row r="49" spans="1:4" x14ac:dyDescent="0.3">
      <c r="A49" t="s">
        <v>12</v>
      </c>
      <c r="B49" s="60">
        <v>10</v>
      </c>
      <c r="C49" s="60">
        <v>135</v>
      </c>
      <c r="D49" t="s">
        <v>176</v>
      </c>
    </row>
    <row r="50" spans="1:4" x14ac:dyDescent="0.3">
      <c r="A50" t="s">
        <v>89</v>
      </c>
      <c r="B50" s="60">
        <v>5</v>
      </c>
      <c r="C50" s="59">
        <v>152.5</v>
      </c>
      <c r="D50" t="s">
        <v>177</v>
      </c>
    </row>
    <row r="51" spans="1:4" x14ac:dyDescent="0.3">
      <c r="A51" t="s">
        <v>93</v>
      </c>
      <c r="B51" s="60">
        <v>5</v>
      </c>
      <c r="C51" s="59">
        <v>88.17</v>
      </c>
      <c r="D51" t="s">
        <v>178</v>
      </c>
    </row>
    <row r="52" spans="1:4" x14ac:dyDescent="0.3">
      <c r="A52" t="s">
        <v>9</v>
      </c>
      <c r="B52" s="60">
        <v>10</v>
      </c>
      <c r="C52" s="59">
        <v>157.5</v>
      </c>
      <c r="D52" t="s">
        <v>179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D5EC-BAE9-465F-8060-DBBAE52AB8C8}">
  <sheetPr>
    <pageSetUpPr fitToPage="1"/>
  </sheetPr>
  <dimension ref="B1:AL62"/>
  <sheetViews>
    <sheetView tabSelected="1" topLeftCell="A30" workbookViewId="0">
      <selection activeCell="W60" sqref="W60"/>
    </sheetView>
  </sheetViews>
  <sheetFormatPr defaultRowHeight="14.4" x14ac:dyDescent="0.3"/>
  <cols>
    <col min="1" max="1" width="1.6640625" customWidth="1"/>
    <col min="2" max="2" width="5.6640625" customWidth="1"/>
    <col min="3" max="3" width="7.88671875" customWidth="1"/>
    <col min="4" max="4" width="9.109375" customWidth="1"/>
    <col min="5" max="5" width="9.88671875" customWidth="1"/>
    <col min="6" max="7" width="7.88671875" customWidth="1"/>
    <col min="8" max="8" width="8.6640625" customWidth="1"/>
    <col min="9" max="19" width="7.88671875" customWidth="1"/>
    <col min="20" max="20" width="8.5546875" customWidth="1"/>
    <col min="21" max="23" width="7.88671875" customWidth="1"/>
    <col min="24" max="24" width="8.88671875" customWidth="1"/>
    <col min="25" max="25" width="9.44140625" customWidth="1"/>
    <col min="26" max="26" width="9.6640625" customWidth="1"/>
    <col min="29" max="29" width="10.44140625" bestFit="1" customWidth="1"/>
    <col min="33" max="33" width="14.109375" customWidth="1"/>
    <col min="34" max="34" width="11" bestFit="1" customWidth="1"/>
    <col min="37" max="37" width="11.109375" customWidth="1"/>
    <col min="38" max="38" width="10.5546875" customWidth="1"/>
  </cols>
  <sheetData>
    <row r="1" spans="2:38" ht="7.5" customHeight="1" x14ac:dyDescent="0.35">
      <c r="W1" s="78"/>
      <c r="X1" s="79"/>
    </row>
    <row r="2" spans="2:38" ht="18" x14ac:dyDescent="0.35">
      <c r="C2" s="67" t="s">
        <v>113</v>
      </c>
      <c r="D2" s="67"/>
      <c r="E2" s="77" t="s">
        <v>101</v>
      </c>
      <c r="F2" s="73"/>
      <c r="G2" s="67" t="s">
        <v>114</v>
      </c>
      <c r="H2" s="67"/>
      <c r="I2" s="67" t="s">
        <v>115</v>
      </c>
      <c r="J2" s="67"/>
      <c r="K2" s="67" t="s">
        <v>104</v>
      </c>
      <c r="L2" s="67"/>
      <c r="M2" s="77" t="s">
        <v>103</v>
      </c>
      <c r="N2" s="73"/>
      <c r="O2" s="67" t="s">
        <v>106</v>
      </c>
      <c r="P2" s="67"/>
      <c r="Q2" s="67" t="s">
        <v>107</v>
      </c>
      <c r="R2" s="67"/>
      <c r="S2" s="67" t="s">
        <v>100</v>
      </c>
      <c r="T2" s="67"/>
      <c r="U2" s="67" t="s">
        <v>108</v>
      </c>
      <c r="V2" s="77"/>
      <c r="W2" s="80" t="s">
        <v>102</v>
      </c>
      <c r="X2" s="81"/>
      <c r="Y2" s="80" t="s">
        <v>105</v>
      </c>
      <c r="Z2" s="81"/>
      <c r="AA2" s="85" t="s">
        <v>180</v>
      </c>
      <c r="AB2" s="86"/>
      <c r="AC2" s="83" t="s">
        <v>66</v>
      </c>
      <c r="AD2" s="84"/>
      <c r="AE2" s="73" t="s">
        <v>28</v>
      </c>
      <c r="AF2" s="67"/>
    </row>
    <row r="3" spans="2:38" x14ac:dyDescent="0.3">
      <c r="B3" s="32" t="s">
        <v>29</v>
      </c>
      <c r="C3" s="24" t="s">
        <v>30</v>
      </c>
      <c r="D3" s="25" t="s">
        <v>31</v>
      </c>
      <c r="E3" s="24" t="s">
        <v>30</v>
      </c>
      <c r="F3" s="25" t="s">
        <v>31</v>
      </c>
      <c r="G3" s="24" t="s">
        <v>30</v>
      </c>
      <c r="H3" s="25" t="s">
        <v>31</v>
      </c>
      <c r="I3" s="24" t="s">
        <v>30</v>
      </c>
      <c r="J3" s="25" t="s">
        <v>31</v>
      </c>
      <c r="K3" s="24" t="s">
        <v>30</v>
      </c>
      <c r="L3" s="25" t="s">
        <v>31</v>
      </c>
      <c r="M3" s="24" t="s">
        <v>30</v>
      </c>
      <c r="N3" s="25" t="s">
        <v>31</v>
      </c>
      <c r="O3" s="24" t="s">
        <v>30</v>
      </c>
      <c r="P3" s="25" t="s">
        <v>31</v>
      </c>
      <c r="Q3" s="24" t="s">
        <v>30</v>
      </c>
      <c r="R3" s="25" t="s">
        <v>31</v>
      </c>
      <c r="S3" s="24" t="s">
        <v>30</v>
      </c>
      <c r="T3" s="25" t="s">
        <v>31</v>
      </c>
      <c r="U3" s="24" t="s">
        <v>30</v>
      </c>
      <c r="V3" s="26" t="s">
        <v>31</v>
      </c>
      <c r="W3" s="57" t="s">
        <v>30</v>
      </c>
      <c r="X3" s="58" t="s">
        <v>31</v>
      </c>
      <c r="Y3" s="57" t="s">
        <v>30</v>
      </c>
      <c r="Z3" s="58" t="s">
        <v>31</v>
      </c>
      <c r="AA3" s="57" t="s">
        <v>30</v>
      </c>
      <c r="AB3" s="58" t="s">
        <v>31</v>
      </c>
      <c r="AC3" s="27" t="s">
        <v>30</v>
      </c>
      <c r="AD3" s="25" t="s">
        <v>31</v>
      </c>
      <c r="AE3" s="27" t="s">
        <v>30</v>
      </c>
      <c r="AF3" s="25" t="s">
        <v>31</v>
      </c>
      <c r="AG3" s="27" t="s">
        <v>83</v>
      </c>
      <c r="AH3" s="25"/>
    </row>
    <row r="4" spans="2:38" x14ac:dyDescent="0.3">
      <c r="B4" s="54" t="s">
        <v>109</v>
      </c>
      <c r="C4" s="12">
        <v>15</v>
      </c>
      <c r="D4" s="13">
        <v>0</v>
      </c>
      <c r="E4" s="14">
        <v>15</v>
      </c>
      <c r="F4" s="13">
        <v>0</v>
      </c>
      <c r="G4" s="14">
        <v>15</v>
      </c>
      <c r="H4" s="13">
        <v>0</v>
      </c>
      <c r="I4" s="14">
        <v>10</v>
      </c>
      <c r="J4" s="13">
        <v>0</v>
      </c>
      <c r="K4" s="14">
        <v>15</v>
      </c>
      <c r="L4" s="13">
        <v>0</v>
      </c>
      <c r="M4" s="14">
        <v>15</v>
      </c>
      <c r="N4" s="13">
        <v>64</v>
      </c>
      <c r="O4" s="14">
        <v>15</v>
      </c>
      <c r="P4" s="13">
        <v>0</v>
      </c>
      <c r="Q4" s="14">
        <v>15</v>
      </c>
      <c r="R4" s="13">
        <v>0</v>
      </c>
      <c r="S4" s="14">
        <v>15</v>
      </c>
      <c r="T4" s="13">
        <v>0</v>
      </c>
      <c r="U4" s="12">
        <v>10</v>
      </c>
      <c r="V4" s="19">
        <v>0</v>
      </c>
      <c r="W4" s="12">
        <v>10</v>
      </c>
      <c r="X4" s="19">
        <v>0</v>
      </c>
      <c r="Y4" s="12">
        <v>5</v>
      </c>
      <c r="Z4" s="19">
        <v>0</v>
      </c>
      <c r="AA4" s="12">
        <v>15</v>
      </c>
      <c r="AB4" s="19">
        <v>0</v>
      </c>
      <c r="AC4" s="17">
        <f>U4+S4+Q4+O4+M4+K4+I4+G4+E4+C4+W4+Y4</f>
        <v>155</v>
      </c>
      <c r="AD4" s="48">
        <f t="shared" ref="AD4" si="0">V4+T4+R4+P4+N4+L4+J4+H4+F4+D4</f>
        <v>64</v>
      </c>
      <c r="AE4" s="1">
        <f>AC4</f>
        <v>155</v>
      </c>
      <c r="AF4" s="1">
        <f>AD4</f>
        <v>64</v>
      </c>
      <c r="AG4" s="1">
        <f>AF4-AE4</f>
        <v>-91</v>
      </c>
      <c r="AH4" s="1"/>
    </row>
    <row r="5" spans="2:38" x14ac:dyDescent="0.3">
      <c r="B5" s="54" t="s">
        <v>32</v>
      </c>
      <c r="C5" s="15"/>
      <c r="D5" s="16"/>
      <c r="E5" s="17"/>
      <c r="F5" s="16"/>
      <c r="G5" s="17"/>
      <c r="H5" s="16"/>
      <c r="I5" s="17"/>
      <c r="J5" s="16"/>
      <c r="K5" s="17"/>
      <c r="L5" s="16"/>
      <c r="M5" s="17"/>
      <c r="N5" s="16"/>
      <c r="O5" s="17"/>
      <c r="P5" s="16"/>
      <c r="Q5" s="17"/>
      <c r="R5" s="16"/>
      <c r="S5" s="17"/>
      <c r="T5" s="16"/>
      <c r="U5" s="15"/>
      <c r="V5" s="20"/>
      <c r="W5" s="15"/>
      <c r="X5" s="20"/>
      <c r="Y5" s="15"/>
      <c r="Z5" s="20"/>
      <c r="AA5" s="15"/>
      <c r="AB5" s="20"/>
      <c r="AC5" s="17">
        <f>U5+S5+Q5+O5+M5+K5+I5+G5+E5+C5+W5+Y5</f>
        <v>0</v>
      </c>
      <c r="AD5" s="35">
        <f>V5+T5+R5+P5+N5+L5+J5+H5+F5+D5+X5+Z5</f>
        <v>0</v>
      </c>
      <c r="AE5" s="1">
        <f>AE4+AC5</f>
        <v>155</v>
      </c>
      <c r="AF5" s="1">
        <f>AF4+AD5</f>
        <v>64</v>
      </c>
      <c r="AG5" s="1">
        <f t="shared" ref="AG5:AG29" si="1">AF5-AE5</f>
        <v>-91</v>
      </c>
      <c r="AH5" s="1"/>
      <c r="AI5" s="87" t="s">
        <v>181</v>
      </c>
      <c r="AJ5" s="87"/>
      <c r="AK5" s="87"/>
      <c r="AL5" s="87"/>
    </row>
    <row r="6" spans="2:38" x14ac:dyDescent="0.3">
      <c r="B6" s="52" t="s">
        <v>34</v>
      </c>
      <c r="C6" s="15"/>
      <c r="D6" s="16"/>
      <c r="E6" s="17"/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  <c r="R6" s="16"/>
      <c r="S6" s="17"/>
      <c r="T6" s="16"/>
      <c r="U6" s="15"/>
      <c r="V6" s="20"/>
      <c r="W6" s="15"/>
      <c r="X6" s="20"/>
      <c r="Y6" s="15"/>
      <c r="Z6" s="20"/>
      <c r="AA6" s="15"/>
      <c r="AB6" s="20"/>
      <c r="AC6" s="17">
        <f t="shared" ref="AC6:AD27" si="2">U6+S6+Q6+O6+M6+K6+I6+G6+E6+C6+W6+Y6</f>
        <v>0</v>
      </c>
      <c r="AD6" s="35">
        <f t="shared" si="2"/>
        <v>0</v>
      </c>
      <c r="AE6" s="1">
        <f t="shared" ref="AE6:AF21" si="3">AE5+AC6</f>
        <v>155</v>
      </c>
      <c r="AF6" s="1">
        <f t="shared" si="3"/>
        <v>64</v>
      </c>
      <c r="AG6" s="1">
        <f t="shared" si="1"/>
        <v>-91</v>
      </c>
      <c r="AH6" s="1"/>
      <c r="AI6" s="43" t="s">
        <v>67</v>
      </c>
      <c r="AJ6" s="43" t="s">
        <v>68</v>
      </c>
      <c r="AK6" s="43" t="s">
        <v>69</v>
      </c>
      <c r="AL6" s="43" t="s">
        <v>70</v>
      </c>
    </row>
    <row r="7" spans="2:38" x14ac:dyDescent="0.3">
      <c r="B7" s="51" t="s">
        <v>35</v>
      </c>
      <c r="C7" s="15"/>
      <c r="D7" s="16"/>
      <c r="E7" s="17"/>
      <c r="F7" s="16"/>
      <c r="G7" s="17"/>
      <c r="H7" s="16"/>
      <c r="I7" s="17"/>
      <c r="J7" s="16"/>
      <c r="K7" s="17"/>
      <c r="L7" s="16"/>
      <c r="M7" s="17"/>
      <c r="N7" s="16"/>
      <c r="O7" s="17"/>
      <c r="P7" s="16"/>
      <c r="Q7" s="17"/>
      <c r="R7" s="16"/>
      <c r="S7" s="17"/>
      <c r="T7" s="16"/>
      <c r="U7" s="15"/>
      <c r="V7" s="20"/>
      <c r="W7" s="15"/>
      <c r="X7" s="20"/>
      <c r="Y7" s="15"/>
      <c r="Z7" s="20"/>
      <c r="AA7" s="15"/>
      <c r="AB7" s="20"/>
      <c r="AC7" s="17">
        <f t="shared" si="2"/>
        <v>0</v>
      </c>
      <c r="AD7" s="35">
        <f t="shared" si="2"/>
        <v>0</v>
      </c>
      <c r="AE7" s="1">
        <f t="shared" si="3"/>
        <v>155</v>
      </c>
      <c r="AF7" s="1">
        <f t="shared" si="3"/>
        <v>64</v>
      </c>
      <c r="AG7" s="1">
        <f t="shared" si="1"/>
        <v>-91</v>
      </c>
      <c r="AH7" s="44" t="s">
        <v>71</v>
      </c>
      <c r="AI7" s="44">
        <f>+E30+'Punters 2024'!AE7</f>
        <v>1223</v>
      </c>
      <c r="AJ7" s="44">
        <f>+F30+'Punters 2024'!AF7</f>
        <v>542.6</v>
      </c>
      <c r="AK7" s="49">
        <f>+AJ7-AI7</f>
        <v>-680.4</v>
      </c>
      <c r="AL7" s="47">
        <f>(AJ7-AI7)/AI7</f>
        <v>-0.55633687653311525</v>
      </c>
    </row>
    <row r="8" spans="2:38" x14ac:dyDescent="0.3">
      <c r="B8" s="53" t="s">
        <v>36</v>
      </c>
      <c r="C8" s="15"/>
      <c r="D8" s="16"/>
      <c r="E8" s="17"/>
      <c r="F8" s="16"/>
      <c r="G8" s="17"/>
      <c r="H8" s="16"/>
      <c r="I8" s="17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5"/>
      <c r="V8" s="20"/>
      <c r="W8" s="15"/>
      <c r="X8" s="20"/>
      <c r="Y8" s="15"/>
      <c r="Z8" s="20"/>
      <c r="AA8" s="15"/>
      <c r="AB8" s="20"/>
      <c r="AC8" s="17">
        <f t="shared" si="2"/>
        <v>0</v>
      </c>
      <c r="AD8" s="35">
        <f t="shared" si="2"/>
        <v>0</v>
      </c>
      <c r="AE8" s="1">
        <f t="shared" si="3"/>
        <v>155</v>
      </c>
      <c r="AF8" s="1">
        <f t="shared" si="3"/>
        <v>64</v>
      </c>
      <c r="AG8" s="1">
        <f t="shared" si="1"/>
        <v>-91</v>
      </c>
      <c r="AH8" s="44" t="s">
        <v>72</v>
      </c>
      <c r="AI8" s="44">
        <f>+K30+'Punters 2024'!AE8</f>
        <v>1403</v>
      </c>
      <c r="AJ8" s="44">
        <f>+L30+'Punters 2024'!AF8</f>
        <v>1138.52</v>
      </c>
      <c r="AK8" s="50">
        <f t="shared" ref="AK8:AK18" si="4">+AJ8-AI8</f>
        <v>-264.48</v>
      </c>
      <c r="AL8" s="47">
        <f t="shared" ref="AL8:AL18" si="5">(AJ8-AI8)/AI8</f>
        <v>-0.18851033499643621</v>
      </c>
    </row>
    <row r="9" spans="2:38" x14ac:dyDescent="0.3">
      <c r="B9" s="52" t="s">
        <v>37</v>
      </c>
      <c r="C9" s="15"/>
      <c r="D9" s="16"/>
      <c r="E9" s="17"/>
      <c r="F9" s="16"/>
      <c r="G9" s="17"/>
      <c r="H9" s="16"/>
      <c r="I9" s="17"/>
      <c r="J9" s="16"/>
      <c r="K9" s="17"/>
      <c r="L9" s="16"/>
      <c r="M9" s="17"/>
      <c r="N9" s="16"/>
      <c r="O9" s="17"/>
      <c r="P9" s="16"/>
      <c r="Q9" s="17"/>
      <c r="R9" s="16"/>
      <c r="S9" s="17"/>
      <c r="T9" s="16"/>
      <c r="U9" s="15"/>
      <c r="V9" s="20"/>
      <c r="W9" s="15"/>
      <c r="X9" s="20"/>
      <c r="Y9" s="15"/>
      <c r="Z9" s="20"/>
      <c r="AA9" s="15"/>
      <c r="AB9" s="20"/>
      <c r="AC9" s="17">
        <f t="shared" si="2"/>
        <v>0</v>
      </c>
      <c r="AD9" s="35">
        <f t="shared" si="2"/>
        <v>0</v>
      </c>
      <c r="AE9" s="1">
        <f t="shared" si="3"/>
        <v>155</v>
      </c>
      <c r="AF9" s="1">
        <f t="shared" si="3"/>
        <v>64</v>
      </c>
      <c r="AG9" s="1">
        <f t="shared" si="1"/>
        <v>-91</v>
      </c>
      <c r="AH9" s="44" t="s">
        <v>73</v>
      </c>
      <c r="AI9" s="44">
        <f>+Y30+'Punters 2024'!AE9</f>
        <v>1371.48</v>
      </c>
      <c r="AJ9" s="44">
        <f>Z30+'Punters 2024'!AF9</f>
        <v>1093.9000000000001</v>
      </c>
      <c r="AK9" s="50">
        <f t="shared" si="4"/>
        <v>-277.57999999999993</v>
      </c>
      <c r="AL9" s="47">
        <f t="shared" si="5"/>
        <v>-0.20239449353982553</v>
      </c>
    </row>
    <row r="10" spans="2:38" x14ac:dyDescent="0.3">
      <c r="B10" s="51" t="s">
        <v>38</v>
      </c>
      <c r="C10" s="15"/>
      <c r="D10" s="16"/>
      <c r="E10" s="17"/>
      <c r="F10" s="16"/>
      <c r="G10" s="17"/>
      <c r="H10" s="16"/>
      <c r="I10" s="17"/>
      <c r="J10" s="16"/>
      <c r="K10" s="17"/>
      <c r="L10" s="16"/>
      <c r="M10" s="17"/>
      <c r="N10" s="16"/>
      <c r="O10" s="17"/>
      <c r="P10" s="16"/>
      <c r="Q10" s="17"/>
      <c r="R10" s="16"/>
      <c r="S10" s="17"/>
      <c r="T10" s="16"/>
      <c r="U10" s="15"/>
      <c r="V10" s="20"/>
      <c r="W10" s="15"/>
      <c r="X10" s="20"/>
      <c r="Y10" s="15"/>
      <c r="Z10" s="20"/>
      <c r="AA10" s="15"/>
      <c r="AB10" s="20"/>
      <c r="AC10" s="17">
        <f t="shared" si="2"/>
        <v>0</v>
      </c>
      <c r="AD10" s="35">
        <f t="shared" si="2"/>
        <v>0</v>
      </c>
      <c r="AE10" s="1">
        <f t="shared" si="3"/>
        <v>155</v>
      </c>
      <c r="AF10" s="1">
        <f t="shared" si="3"/>
        <v>64</v>
      </c>
      <c r="AG10" s="1">
        <f t="shared" si="1"/>
        <v>-91</v>
      </c>
      <c r="AH10" s="44" t="s">
        <v>74</v>
      </c>
      <c r="AI10" s="44">
        <f>+S30+'Punters 2024'!AE10</f>
        <v>1379.9</v>
      </c>
      <c r="AJ10" s="44">
        <f>+T30+'Punters 2024'!AF10</f>
        <v>1516.4499999999998</v>
      </c>
      <c r="AK10" s="50">
        <f t="shared" si="4"/>
        <v>136.54999999999973</v>
      </c>
      <c r="AL10" s="45">
        <f t="shared" si="5"/>
        <v>9.8956446119283809E-2</v>
      </c>
    </row>
    <row r="11" spans="2:38" x14ac:dyDescent="0.3">
      <c r="B11" s="53" t="s">
        <v>39</v>
      </c>
      <c r="C11" s="15"/>
      <c r="D11" s="16"/>
      <c r="E11" s="17"/>
      <c r="F11" s="16"/>
      <c r="G11" s="17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6"/>
      <c r="U11" s="15"/>
      <c r="V11" s="20"/>
      <c r="W11" s="15"/>
      <c r="X11" s="20"/>
      <c r="Y11" s="15"/>
      <c r="Z11" s="20"/>
      <c r="AA11" s="15"/>
      <c r="AB11" s="20"/>
      <c r="AC11" s="17">
        <f t="shared" si="2"/>
        <v>0</v>
      </c>
      <c r="AD11" s="35">
        <f t="shared" si="2"/>
        <v>0</v>
      </c>
      <c r="AE11" s="1">
        <f t="shared" si="3"/>
        <v>155</v>
      </c>
      <c r="AF11" s="1">
        <f t="shared" si="3"/>
        <v>64</v>
      </c>
      <c r="AG11" s="1">
        <f t="shared" si="1"/>
        <v>-91</v>
      </c>
      <c r="AH11" s="44" t="s">
        <v>75</v>
      </c>
      <c r="AI11" s="44">
        <f>+M30+'Punters 2024'!AE11</f>
        <v>1088</v>
      </c>
      <c r="AJ11" s="44">
        <f>+N30+'Punters 2024'!AF11</f>
        <v>162.25</v>
      </c>
      <c r="AK11" s="49">
        <f t="shared" si="4"/>
        <v>-925.75</v>
      </c>
      <c r="AL11" s="47">
        <f t="shared" si="5"/>
        <v>-0.85087316176470584</v>
      </c>
    </row>
    <row r="12" spans="2:38" x14ac:dyDescent="0.3">
      <c r="B12" s="52" t="s">
        <v>40</v>
      </c>
      <c r="C12" s="15"/>
      <c r="D12" s="16"/>
      <c r="E12" s="17"/>
      <c r="F12" s="16"/>
      <c r="G12" s="17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6"/>
      <c r="U12" s="15"/>
      <c r="V12" s="20"/>
      <c r="W12" s="15"/>
      <c r="X12" s="20"/>
      <c r="Y12" s="15"/>
      <c r="Z12" s="20"/>
      <c r="AA12" s="15"/>
      <c r="AB12" s="20"/>
      <c r="AC12" s="17">
        <f t="shared" si="2"/>
        <v>0</v>
      </c>
      <c r="AD12" s="35">
        <f t="shared" si="2"/>
        <v>0</v>
      </c>
      <c r="AE12" s="1">
        <f t="shared" si="3"/>
        <v>155</v>
      </c>
      <c r="AF12" s="1">
        <f t="shared" si="3"/>
        <v>64</v>
      </c>
      <c r="AG12" s="1">
        <f t="shared" si="1"/>
        <v>-91</v>
      </c>
      <c r="AH12" s="44" t="s">
        <v>76</v>
      </c>
      <c r="AI12" s="44">
        <f>+U30+'Punters 2024'!AE12</f>
        <v>1394.96</v>
      </c>
      <c r="AJ12" s="44">
        <f>+V30+'Punters 2024'!AF12</f>
        <v>890.65999999999985</v>
      </c>
      <c r="AK12" s="49">
        <f t="shared" si="4"/>
        <v>-504.30000000000018</v>
      </c>
      <c r="AL12" s="47">
        <f t="shared" si="5"/>
        <v>-0.36151574238687861</v>
      </c>
    </row>
    <row r="13" spans="2:38" x14ac:dyDescent="0.3">
      <c r="B13" s="51" t="s">
        <v>41</v>
      </c>
      <c r="C13" s="15"/>
      <c r="D13" s="16"/>
      <c r="E13" s="17"/>
      <c r="F13" s="16"/>
      <c r="G13" s="17"/>
      <c r="H13" s="16"/>
      <c r="I13" s="17"/>
      <c r="J13" s="16"/>
      <c r="K13" s="17"/>
      <c r="L13" s="16"/>
      <c r="M13" s="17"/>
      <c r="N13" s="16"/>
      <c r="O13" s="17"/>
      <c r="P13" s="16"/>
      <c r="Q13" s="17"/>
      <c r="R13" s="16"/>
      <c r="S13" s="17"/>
      <c r="T13" s="16"/>
      <c r="U13" s="15"/>
      <c r="V13" s="20"/>
      <c r="W13" s="15"/>
      <c r="X13" s="20"/>
      <c r="Y13" s="15"/>
      <c r="Z13" s="20"/>
      <c r="AA13" s="15"/>
      <c r="AB13" s="20"/>
      <c r="AC13" s="17">
        <f t="shared" si="2"/>
        <v>0</v>
      </c>
      <c r="AD13" s="35">
        <f t="shared" si="2"/>
        <v>0</v>
      </c>
      <c r="AE13" s="1">
        <f t="shared" si="3"/>
        <v>155</v>
      </c>
      <c r="AF13" s="1">
        <f t="shared" si="3"/>
        <v>64</v>
      </c>
      <c r="AG13" s="1">
        <f t="shared" si="1"/>
        <v>-91</v>
      </c>
      <c r="AH13" s="44" t="s">
        <v>77</v>
      </c>
      <c r="AI13" s="44">
        <f>+I30+'Punters 2024'!AE13</f>
        <v>1356.3400000000001</v>
      </c>
      <c r="AJ13" s="44">
        <f>+J30+'Punters 2024'!AF13</f>
        <v>626.24</v>
      </c>
      <c r="AK13" s="49">
        <f t="shared" si="4"/>
        <v>-730.10000000000014</v>
      </c>
      <c r="AL13" s="47">
        <f t="shared" si="5"/>
        <v>-0.53828686022678685</v>
      </c>
    </row>
    <row r="14" spans="2:38" x14ac:dyDescent="0.3">
      <c r="B14" s="53" t="s">
        <v>42</v>
      </c>
      <c r="C14" s="15"/>
      <c r="D14" s="16"/>
      <c r="E14" s="17"/>
      <c r="F14" s="16"/>
      <c r="G14" s="17"/>
      <c r="H14" s="16"/>
      <c r="I14" s="17"/>
      <c r="J14" s="16"/>
      <c r="K14" s="17"/>
      <c r="L14" s="16"/>
      <c r="M14" s="17"/>
      <c r="N14" s="16"/>
      <c r="O14" s="17"/>
      <c r="P14" s="16"/>
      <c r="Q14" s="17"/>
      <c r="R14" s="16"/>
      <c r="S14" s="17"/>
      <c r="T14" s="16"/>
      <c r="U14" s="15"/>
      <c r="V14" s="20"/>
      <c r="W14" s="15"/>
      <c r="X14" s="20"/>
      <c r="Y14" s="15"/>
      <c r="Z14" s="20"/>
      <c r="AA14" s="15"/>
      <c r="AB14" s="20"/>
      <c r="AC14" s="17">
        <f t="shared" si="2"/>
        <v>0</v>
      </c>
      <c r="AD14" s="35">
        <f t="shared" si="2"/>
        <v>0</v>
      </c>
      <c r="AE14" s="1">
        <f t="shared" si="3"/>
        <v>155</v>
      </c>
      <c r="AF14" s="1">
        <f t="shared" si="3"/>
        <v>64</v>
      </c>
      <c r="AG14" s="1">
        <f t="shared" si="1"/>
        <v>-91</v>
      </c>
      <c r="AH14" s="44" t="s">
        <v>78</v>
      </c>
      <c r="AI14" s="44">
        <f>+Q30+'Punters 2024'!AE14</f>
        <v>1368</v>
      </c>
      <c r="AJ14" s="44">
        <f>+R30+'Punters 2024'!AF14</f>
        <v>637.47</v>
      </c>
      <c r="AK14" s="49">
        <f t="shared" si="4"/>
        <v>-730.53</v>
      </c>
      <c r="AL14" s="47">
        <f t="shared" si="5"/>
        <v>-0.5340131578947368</v>
      </c>
    </row>
    <row r="15" spans="2:38" x14ac:dyDescent="0.3">
      <c r="B15" s="52" t="s">
        <v>43</v>
      </c>
      <c r="C15" s="15"/>
      <c r="D15" s="16"/>
      <c r="E15" s="17"/>
      <c r="F15" s="16"/>
      <c r="G15" s="17"/>
      <c r="H15" s="16"/>
      <c r="I15" s="17"/>
      <c r="J15" s="16"/>
      <c r="K15" s="17"/>
      <c r="L15" s="16"/>
      <c r="M15" s="17"/>
      <c r="N15" s="16"/>
      <c r="O15" s="17"/>
      <c r="P15" s="16"/>
      <c r="Q15" s="17"/>
      <c r="R15" s="16"/>
      <c r="S15" s="17"/>
      <c r="T15" s="16"/>
      <c r="U15" s="15"/>
      <c r="V15" s="20"/>
      <c r="W15" s="15"/>
      <c r="X15" s="20"/>
      <c r="Y15" s="15"/>
      <c r="Z15" s="20"/>
      <c r="AA15" s="15"/>
      <c r="AB15" s="20"/>
      <c r="AC15" s="17">
        <f t="shared" si="2"/>
        <v>0</v>
      </c>
      <c r="AD15" s="35">
        <f t="shared" si="2"/>
        <v>0</v>
      </c>
      <c r="AE15" s="1">
        <f t="shared" si="3"/>
        <v>155</v>
      </c>
      <c r="AF15" s="1">
        <f t="shared" si="3"/>
        <v>64</v>
      </c>
      <c r="AG15" s="1">
        <f t="shared" si="1"/>
        <v>-91</v>
      </c>
      <c r="AH15" s="44" t="s">
        <v>79</v>
      </c>
      <c r="AI15" s="44">
        <f>+O30+'Punters 2024'!AE15</f>
        <v>1377.7</v>
      </c>
      <c r="AJ15" s="44">
        <f>+P30+'Punters 2024'!AF15</f>
        <v>1696.09</v>
      </c>
      <c r="AK15" s="50">
        <f t="shared" si="4"/>
        <v>318.38999999999987</v>
      </c>
      <c r="AL15" s="45">
        <f t="shared" si="5"/>
        <v>0.23110256224141676</v>
      </c>
    </row>
    <row r="16" spans="2:38" x14ac:dyDescent="0.3">
      <c r="B16" s="51" t="s">
        <v>44</v>
      </c>
      <c r="C16" s="15"/>
      <c r="D16" s="16"/>
      <c r="E16" s="17"/>
      <c r="F16" s="16"/>
      <c r="G16" s="17"/>
      <c r="H16" s="16"/>
      <c r="I16" s="17"/>
      <c r="J16" s="16"/>
      <c r="K16" s="17"/>
      <c r="L16" s="16"/>
      <c r="M16" s="17"/>
      <c r="N16" s="16"/>
      <c r="O16" s="17"/>
      <c r="P16" s="16"/>
      <c r="Q16" s="17"/>
      <c r="R16" s="16"/>
      <c r="S16" s="17"/>
      <c r="T16" s="16"/>
      <c r="U16" s="15"/>
      <c r="V16" s="20"/>
      <c r="W16" s="15"/>
      <c r="X16" s="20"/>
      <c r="Y16" s="15"/>
      <c r="Z16" s="20"/>
      <c r="AA16" s="15"/>
      <c r="AB16" s="20"/>
      <c r="AC16" s="17">
        <f t="shared" si="2"/>
        <v>0</v>
      </c>
      <c r="AD16" s="35">
        <f t="shared" si="2"/>
        <v>0</v>
      </c>
      <c r="AE16" s="1">
        <f t="shared" si="3"/>
        <v>155</v>
      </c>
      <c r="AF16" s="1">
        <f t="shared" si="3"/>
        <v>64</v>
      </c>
      <c r="AG16" s="1">
        <f t="shared" si="1"/>
        <v>-91</v>
      </c>
      <c r="AH16" s="44" t="s">
        <v>80</v>
      </c>
      <c r="AI16" s="44">
        <f>+W30+'Punters 2024'!AE16</f>
        <v>630</v>
      </c>
      <c r="AJ16" s="44">
        <f>+X30+'Punters 2024'!AF16</f>
        <v>151.25</v>
      </c>
      <c r="AK16" s="49">
        <f t="shared" si="4"/>
        <v>-478.75</v>
      </c>
      <c r="AL16" s="47">
        <f t="shared" si="5"/>
        <v>-0.75992063492063489</v>
      </c>
    </row>
    <row r="17" spans="2:38" x14ac:dyDescent="0.3">
      <c r="B17" s="53" t="s">
        <v>45</v>
      </c>
      <c r="C17" s="15"/>
      <c r="D17" s="16"/>
      <c r="E17" s="17"/>
      <c r="F17" s="16"/>
      <c r="G17" s="17"/>
      <c r="H17" s="16"/>
      <c r="I17" s="17"/>
      <c r="J17" s="16"/>
      <c r="K17" s="17"/>
      <c r="L17" s="16"/>
      <c r="M17" s="17"/>
      <c r="N17" s="16"/>
      <c r="O17" s="17"/>
      <c r="P17" s="16"/>
      <c r="Q17" s="17"/>
      <c r="R17" s="16"/>
      <c r="S17" s="17"/>
      <c r="T17" s="16"/>
      <c r="U17" s="15"/>
      <c r="V17" s="20"/>
      <c r="W17" s="15"/>
      <c r="X17" s="20"/>
      <c r="Y17" s="15"/>
      <c r="Z17" s="20"/>
      <c r="AA17" s="15"/>
      <c r="AB17" s="20"/>
      <c r="AC17" s="17">
        <f t="shared" si="2"/>
        <v>0</v>
      </c>
      <c r="AD17" s="35">
        <f t="shared" si="2"/>
        <v>0</v>
      </c>
      <c r="AE17" s="1">
        <f t="shared" si="3"/>
        <v>155</v>
      </c>
      <c r="AF17" s="1">
        <f t="shared" si="3"/>
        <v>64</v>
      </c>
      <c r="AG17" s="1">
        <f t="shared" si="1"/>
        <v>-91</v>
      </c>
      <c r="AH17" s="44" t="s">
        <v>116</v>
      </c>
      <c r="AI17" s="44">
        <f>+C30</f>
        <v>15</v>
      </c>
      <c r="AJ17" s="44">
        <f>+D30</f>
        <v>0</v>
      </c>
      <c r="AK17" s="49">
        <f t="shared" si="4"/>
        <v>-15</v>
      </c>
      <c r="AL17" s="47">
        <f t="shared" si="5"/>
        <v>-1</v>
      </c>
    </row>
    <row r="18" spans="2:38" x14ac:dyDescent="0.3">
      <c r="B18" s="52" t="s">
        <v>46</v>
      </c>
      <c r="C18" s="15"/>
      <c r="D18" s="16"/>
      <c r="E18" s="17"/>
      <c r="F18" s="16"/>
      <c r="G18" s="17"/>
      <c r="H18" s="16"/>
      <c r="I18" s="17"/>
      <c r="J18" s="16"/>
      <c r="K18" s="17"/>
      <c r="L18" s="16"/>
      <c r="M18" s="17"/>
      <c r="N18" s="16"/>
      <c r="O18" s="17"/>
      <c r="P18" s="16"/>
      <c r="Q18" s="17"/>
      <c r="R18" s="16"/>
      <c r="S18" s="17"/>
      <c r="T18" s="16"/>
      <c r="U18" s="15"/>
      <c r="V18" s="20"/>
      <c r="W18" s="15"/>
      <c r="X18" s="20"/>
      <c r="Y18" s="15"/>
      <c r="Z18" s="20"/>
      <c r="AA18" s="15"/>
      <c r="AB18" s="20"/>
      <c r="AC18" s="17">
        <f t="shared" si="2"/>
        <v>0</v>
      </c>
      <c r="AD18" s="35">
        <f t="shared" si="2"/>
        <v>0</v>
      </c>
      <c r="AE18" s="1">
        <f t="shared" si="3"/>
        <v>155</v>
      </c>
      <c r="AF18" s="1">
        <f t="shared" si="3"/>
        <v>64</v>
      </c>
      <c r="AG18" s="1">
        <f t="shared" si="1"/>
        <v>-91</v>
      </c>
      <c r="AH18" s="64" t="s">
        <v>117</v>
      </c>
      <c r="AI18" s="64">
        <f>+G30</f>
        <v>15</v>
      </c>
      <c r="AJ18" s="64">
        <f>+H30</f>
        <v>0</v>
      </c>
      <c r="AK18" s="65">
        <f t="shared" si="4"/>
        <v>-15</v>
      </c>
      <c r="AL18" s="66">
        <f t="shared" si="5"/>
        <v>-1</v>
      </c>
    </row>
    <row r="19" spans="2:38" x14ac:dyDescent="0.3">
      <c r="B19" s="51" t="s">
        <v>47</v>
      </c>
      <c r="C19" s="15"/>
      <c r="D19" s="16"/>
      <c r="E19" s="17"/>
      <c r="F19" s="16"/>
      <c r="G19" s="17"/>
      <c r="H19" s="16"/>
      <c r="I19" s="17"/>
      <c r="J19" s="16"/>
      <c r="K19" s="17"/>
      <c r="L19" s="16"/>
      <c r="M19" s="17"/>
      <c r="N19" s="16"/>
      <c r="O19" s="17"/>
      <c r="P19" s="16"/>
      <c r="Q19" s="17"/>
      <c r="R19" s="16"/>
      <c r="S19" s="17"/>
      <c r="T19" s="16"/>
      <c r="U19" s="15"/>
      <c r="V19" s="20"/>
      <c r="W19" s="15"/>
      <c r="X19" s="20"/>
      <c r="Y19" s="15"/>
      <c r="Z19" s="20"/>
      <c r="AA19" s="15"/>
      <c r="AB19" s="20"/>
      <c r="AC19" s="17">
        <f t="shared" si="2"/>
        <v>0</v>
      </c>
      <c r="AD19" s="35">
        <f t="shared" si="2"/>
        <v>0</v>
      </c>
      <c r="AE19" s="1">
        <f t="shared" si="3"/>
        <v>155</v>
      </c>
      <c r="AF19" s="1">
        <f t="shared" si="3"/>
        <v>64</v>
      </c>
      <c r="AG19" s="1">
        <f t="shared" si="1"/>
        <v>-91</v>
      </c>
      <c r="AH19" s="62" t="s">
        <v>182</v>
      </c>
      <c r="AI19" s="63"/>
      <c r="AJ19" s="63"/>
      <c r="AK19" s="63"/>
      <c r="AL19" s="63"/>
    </row>
    <row r="20" spans="2:38" x14ac:dyDescent="0.3">
      <c r="B20" s="53" t="s">
        <v>48</v>
      </c>
      <c r="C20" s="15"/>
      <c r="D20" s="16"/>
      <c r="E20" s="17"/>
      <c r="F20" s="16"/>
      <c r="G20" s="17"/>
      <c r="H20" s="16"/>
      <c r="I20" s="17"/>
      <c r="J20" s="16"/>
      <c r="K20" s="17"/>
      <c r="L20" s="16"/>
      <c r="M20" s="17"/>
      <c r="N20" s="16"/>
      <c r="O20" s="17"/>
      <c r="P20" s="16"/>
      <c r="Q20" s="17"/>
      <c r="R20" s="16"/>
      <c r="S20" s="17"/>
      <c r="T20" s="16"/>
      <c r="U20" s="15"/>
      <c r="V20" s="20"/>
      <c r="W20" s="15"/>
      <c r="X20" s="20"/>
      <c r="Y20" s="15"/>
      <c r="Z20" s="20"/>
      <c r="AA20" s="15"/>
      <c r="AB20" s="20"/>
      <c r="AC20" s="17">
        <f t="shared" si="2"/>
        <v>0</v>
      </c>
      <c r="AD20" s="35">
        <f t="shared" si="2"/>
        <v>0</v>
      </c>
      <c r="AE20" s="1">
        <f t="shared" si="3"/>
        <v>155</v>
      </c>
      <c r="AF20" s="1">
        <f t="shared" si="3"/>
        <v>64</v>
      </c>
      <c r="AG20" s="1">
        <f t="shared" si="1"/>
        <v>-91</v>
      </c>
      <c r="AH20" s="1"/>
    </row>
    <row r="21" spans="2:38" x14ac:dyDescent="0.3">
      <c r="B21" s="52" t="s">
        <v>49</v>
      </c>
      <c r="C21" s="15"/>
      <c r="D21" s="16"/>
      <c r="E21" s="17"/>
      <c r="F21" s="16"/>
      <c r="G21" s="17"/>
      <c r="H21" s="16"/>
      <c r="I21" s="17"/>
      <c r="J21" s="16"/>
      <c r="K21" s="17"/>
      <c r="L21" s="16"/>
      <c r="M21" s="17"/>
      <c r="N21" s="16"/>
      <c r="O21" s="17"/>
      <c r="P21" s="16"/>
      <c r="Q21" s="17"/>
      <c r="R21" s="16"/>
      <c r="S21" s="17"/>
      <c r="T21" s="16"/>
      <c r="U21" s="15"/>
      <c r="V21" s="20"/>
      <c r="W21" s="15"/>
      <c r="X21" s="20"/>
      <c r="Y21" s="15"/>
      <c r="Z21" s="20"/>
      <c r="AA21" s="15"/>
      <c r="AB21" s="20"/>
      <c r="AC21" s="17">
        <f t="shared" si="2"/>
        <v>0</v>
      </c>
      <c r="AD21" s="35">
        <f t="shared" si="2"/>
        <v>0</v>
      </c>
      <c r="AE21" s="1">
        <f t="shared" si="3"/>
        <v>155</v>
      </c>
      <c r="AF21" s="1">
        <f t="shared" si="3"/>
        <v>64</v>
      </c>
      <c r="AG21" s="1">
        <f t="shared" si="1"/>
        <v>-91</v>
      </c>
      <c r="AH21" s="1"/>
    </row>
    <row r="22" spans="2:38" x14ac:dyDescent="0.3">
      <c r="B22" s="51" t="s">
        <v>50</v>
      </c>
      <c r="C22" s="15"/>
      <c r="D22" s="16"/>
      <c r="E22" s="17"/>
      <c r="F22" s="16"/>
      <c r="G22" s="17"/>
      <c r="H22" s="16"/>
      <c r="I22" s="17"/>
      <c r="J22" s="16"/>
      <c r="K22" s="17"/>
      <c r="L22" s="16"/>
      <c r="M22" s="17"/>
      <c r="N22" s="16"/>
      <c r="O22" s="17"/>
      <c r="P22" s="16"/>
      <c r="Q22" s="17"/>
      <c r="R22" s="16"/>
      <c r="S22" s="17"/>
      <c r="T22" s="16"/>
      <c r="U22" s="15"/>
      <c r="V22" s="20"/>
      <c r="W22" s="15"/>
      <c r="X22" s="20"/>
      <c r="Y22" s="15"/>
      <c r="Z22" s="20"/>
      <c r="AA22" s="15"/>
      <c r="AB22" s="20"/>
      <c r="AC22" s="17">
        <f t="shared" si="2"/>
        <v>0</v>
      </c>
      <c r="AD22" s="35">
        <f t="shared" si="2"/>
        <v>0</v>
      </c>
      <c r="AE22" s="1">
        <f t="shared" ref="AE22:AF29" si="6">AE21+AC22</f>
        <v>155</v>
      </c>
      <c r="AF22" s="1">
        <f t="shared" si="6"/>
        <v>64</v>
      </c>
      <c r="AG22" s="1">
        <f t="shared" si="1"/>
        <v>-91</v>
      </c>
      <c r="AH22" s="1"/>
    </row>
    <row r="23" spans="2:38" x14ac:dyDescent="0.3">
      <c r="B23" s="53" t="s">
        <v>59</v>
      </c>
      <c r="C23" s="15"/>
      <c r="D23" s="16"/>
      <c r="E23" s="17"/>
      <c r="F23" s="16"/>
      <c r="G23" s="17"/>
      <c r="H23" s="16"/>
      <c r="I23" s="17"/>
      <c r="J23" s="16"/>
      <c r="K23" s="17"/>
      <c r="L23" s="16"/>
      <c r="M23" s="17"/>
      <c r="N23" s="16"/>
      <c r="O23" s="17"/>
      <c r="P23" s="16"/>
      <c r="Q23" s="17"/>
      <c r="R23" s="16"/>
      <c r="S23" s="17"/>
      <c r="T23" s="16"/>
      <c r="U23" s="15"/>
      <c r="V23" s="20"/>
      <c r="W23" s="15"/>
      <c r="X23" s="20"/>
      <c r="Y23" s="15"/>
      <c r="Z23" s="20"/>
      <c r="AA23" s="15"/>
      <c r="AB23" s="20"/>
      <c r="AC23" s="17">
        <f t="shared" si="2"/>
        <v>0</v>
      </c>
      <c r="AD23" s="35">
        <f t="shared" si="2"/>
        <v>0</v>
      </c>
      <c r="AE23" s="1">
        <f t="shared" si="6"/>
        <v>155</v>
      </c>
      <c r="AF23" s="1">
        <f t="shared" si="6"/>
        <v>64</v>
      </c>
      <c r="AG23" s="1">
        <f t="shared" si="1"/>
        <v>-91</v>
      </c>
      <c r="AH23" s="1"/>
    </row>
    <row r="24" spans="2:38" x14ac:dyDescent="0.3">
      <c r="B24" s="52" t="s">
        <v>60</v>
      </c>
      <c r="C24" s="15"/>
      <c r="D24" s="16"/>
      <c r="E24" s="17"/>
      <c r="F24" s="16"/>
      <c r="G24" s="17"/>
      <c r="H24" s="16"/>
      <c r="I24" s="17"/>
      <c r="J24" s="16"/>
      <c r="K24" s="17"/>
      <c r="L24" s="16"/>
      <c r="M24" s="17"/>
      <c r="N24" s="16"/>
      <c r="O24" s="17"/>
      <c r="P24" s="16"/>
      <c r="Q24" s="17"/>
      <c r="R24" s="16"/>
      <c r="S24" s="17"/>
      <c r="T24" s="16"/>
      <c r="U24" s="15"/>
      <c r="V24" s="20"/>
      <c r="W24" s="15"/>
      <c r="X24" s="20"/>
      <c r="Y24" s="15"/>
      <c r="Z24" s="20"/>
      <c r="AA24" s="15"/>
      <c r="AB24" s="20"/>
      <c r="AC24" s="17">
        <f t="shared" si="2"/>
        <v>0</v>
      </c>
      <c r="AD24" s="35">
        <f t="shared" si="2"/>
        <v>0</v>
      </c>
      <c r="AE24" s="1">
        <f t="shared" si="6"/>
        <v>155</v>
      </c>
      <c r="AF24" s="1">
        <f t="shared" si="6"/>
        <v>64</v>
      </c>
      <c r="AG24" s="1">
        <f t="shared" si="1"/>
        <v>-91</v>
      </c>
      <c r="AH24" s="1"/>
    </row>
    <row r="25" spans="2:38" x14ac:dyDescent="0.3">
      <c r="B25" s="51" t="s">
        <v>61</v>
      </c>
      <c r="C25" s="15"/>
      <c r="D25" s="16"/>
      <c r="E25" s="17"/>
      <c r="F25" s="16"/>
      <c r="G25" s="17"/>
      <c r="H25" s="16"/>
      <c r="I25" s="17"/>
      <c r="J25" s="16"/>
      <c r="K25" s="17"/>
      <c r="L25" s="16"/>
      <c r="M25" s="17"/>
      <c r="N25" s="16"/>
      <c r="O25" s="17"/>
      <c r="P25" s="16"/>
      <c r="Q25" s="17"/>
      <c r="R25" s="16"/>
      <c r="S25" s="17"/>
      <c r="T25" s="16"/>
      <c r="U25" s="15"/>
      <c r="V25" s="20"/>
      <c r="W25" s="15"/>
      <c r="X25" s="20"/>
      <c r="Y25" s="15"/>
      <c r="Z25" s="20"/>
      <c r="AA25" s="15"/>
      <c r="AB25" s="20"/>
      <c r="AC25" s="17">
        <f t="shared" si="2"/>
        <v>0</v>
      </c>
      <c r="AD25" s="35">
        <f t="shared" si="2"/>
        <v>0</v>
      </c>
      <c r="AE25" s="1">
        <f t="shared" si="6"/>
        <v>155</v>
      </c>
      <c r="AF25" s="1">
        <f t="shared" si="6"/>
        <v>64</v>
      </c>
      <c r="AG25" s="1">
        <f t="shared" si="1"/>
        <v>-91</v>
      </c>
      <c r="AH25" s="1"/>
    </row>
    <row r="26" spans="2:38" x14ac:dyDescent="0.3">
      <c r="B26" s="53" t="s">
        <v>62</v>
      </c>
      <c r="C26" s="15"/>
      <c r="D26" s="16"/>
      <c r="E26" s="17"/>
      <c r="F26" s="16"/>
      <c r="G26" s="17"/>
      <c r="H26" s="16"/>
      <c r="I26" s="17"/>
      <c r="J26" s="16"/>
      <c r="K26" s="17"/>
      <c r="L26" s="16"/>
      <c r="M26" s="17"/>
      <c r="N26" s="16"/>
      <c r="O26" s="17"/>
      <c r="P26" s="16"/>
      <c r="Q26" s="17"/>
      <c r="R26" s="16"/>
      <c r="S26" s="17"/>
      <c r="T26" s="16"/>
      <c r="U26" s="15"/>
      <c r="V26" s="20"/>
      <c r="W26" s="15"/>
      <c r="X26" s="20"/>
      <c r="Y26" s="15"/>
      <c r="Z26" s="20"/>
      <c r="AA26" s="15"/>
      <c r="AB26" s="20"/>
      <c r="AC26" s="17">
        <f t="shared" si="2"/>
        <v>0</v>
      </c>
      <c r="AD26" s="35">
        <f t="shared" si="2"/>
        <v>0</v>
      </c>
      <c r="AE26" s="1">
        <f t="shared" si="6"/>
        <v>155</v>
      </c>
      <c r="AF26" s="1">
        <f t="shared" si="6"/>
        <v>64</v>
      </c>
      <c r="AG26" s="1">
        <f t="shared" si="1"/>
        <v>-91</v>
      </c>
      <c r="AH26" s="1"/>
    </row>
    <row r="27" spans="2:38" x14ac:dyDescent="0.3">
      <c r="B27" s="30" t="s">
        <v>63</v>
      </c>
      <c r="C27" s="15"/>
      <c r="D27" s="16"/>
      <c r="E27" s="17"/>
      <c r="F27" s="16"/>
      <c r="G27" s="17"/>
      <c r="H27" s="16"/>
      <c r="I27" s="17"/>
      <c r="J27" s="16"/>
      <c r="K27" s="17"/>
      <c r="L27" s="16"/>
      <c r="M27" s="17"/>
      <c r="N27" s="16"/>
      <c r="O27" s="17"/>
      <c r="P27" s="16"/>
      <c r="Q27" s="17"/>
      <c r="R27" s="16"/>
      <c r="S27" s="17"/>
      <c r="T27" s="16"/>
      <c r="U27" s="15"/>
      <c r="V27" s="20"/>
      <c r="W27" s="15"/>
      <c r="X27" s="20"/>
      <c r="Y27" s="15"/>
      <c r="Z27" s="20"/>
      <c r="AA27" s="15"/>
      <c r="AB27" s="20"/>
      <c r="AC27" s="17">
        <f t="shared" si="2"/>
        <v>0</v>
      </c>
      <c r="AD27" s="35">
        <f t="shared" si="2"/>
        <v>0</v>
      </c>
      <c r="AE27" s="1">
        <f t="shared" si="6"/>
        <v>155</v>
      </c>
      <c r="AF27" s="1">
        <f t="shared" si="6"/>
        <v>64</v>
      </c>
      <c r="AG27" s="1">
        <f t="shared" si="1"/>
        <v>-91</v>
      </c>
      <c r="AH27" s="1"/>
    </row>
    <row r="28" spans="2:38" x14ac:dyDescent="0.3">
      <c r="B28" s="30" t="s">
        <v>84</v>
      </c>
      <c r="C28" s="15"/>
      <c r="D28" s="16"/>
      <c r="E28" s="17"/>
      <c r="F28" s="16"/>
      <c r="G28" s="17"/>
      <c r="H28" s="16"/>
      <c r="I28" s="17"/>
      <c r="J28" s="16"/>
      <c r="K28" s="17"/>
      <c r="L28" s="16"/>
      <c r="M28" s="17"/>
      <c r="N28" s="16"/>
      <c r="O28" s="17"/>
      <c r="P28" s="16"/>
      <c r="Q28" s="17"/>
      <c r="R28" s="16"/>
      <c r="S28" s="17"/>
      <c r="T28" s="16"/>
      <c r="U28" s="15"/>
      <c r="V28" s="20"/>
      <c r="W28" s="15"/>
      <c r="X28" s="20"/>
      <c r="Y28" s="15"/>
      <c r="Z28" s="20"/>
      <c r="AA28" s="15"/>
      <c r="AB28" s="20"/>
      <c r="AC28" s="17">
        <f t="shared" ref="AC28:AD29" si="7">U28+S28+Q28+O28+M28+K28+I28+G28+E28+C28+W28+Y28</f>
        <v>0</v>
      </c>
      <c r="AD28" s="35">
        <f t="shared" si="7"/>
        <v>0</v>
      </c>
      <c r="AE28" s="1">
        <f t="shared" si="6"/>
        <v>155</v>
      </c>
      <c r="AF28" s="1">
        <f t="shared" si="6"/>
        <v>64</v>
      </c>
      <c r="AG28" s="1">
        <f t="shared" si="1"/>
        <v>-91</v>
      </c>
      <c r="AH28" s="1"/>
    </row>
    <row r="29" spans="2:38" x14ac:dyDescent="0.3">
      <c r="B29" s="30" t="s">
        <v>51</v>
      </c>
      <c r="C29" s="15"/>
      <c r="D29" s="16"/>
      <c r="E29" s="17"/>
      <c r="F29" s="16"/>
      <c r="G29" s="17"/>
      <c r="H29" s="16"/>
      <c r="I29" s="17"/>
      <c r="J29" s="16"/>
      <c r="K29" s="17"/>
      <c r="L29" s="16"/>
      <c r="M29" s="17"/>
      <c r="N29" s="16"/>
      <c r="O29" s="17"/>
      <c r="P29" s="16"/>
      <c r="Q29" s="17"/>
      <c r="R29" s="16"/>
      <c r="S29" s="17"/>
      <c r="T29" s="16"/>
      <c r="U29" s="15"/>
      <c r="V29" s="20"/>
      <c r="W29" s="15"/>
      <c r="X29" s="20"/>
      <c r="Y29" s="15"/>
      <c r="Z29" s="20"/>
      <c r="AA29" s="15"/>
      <c r="AB29" s="20"/>
      <c r="AC29" s="17">
        <f t="shared" si="7"/>
        <v>0</v>
      </c>
      <c r="AD29" s="35">
        <f t="shared" si="7"/>
        <v>0</v>
      </c>
      <c r="AE29" s="1">
        <f t="shared" si="6"/>
        <v>155</v>
      </c>
      <c r="AF29" s="1">
        <f t="shared" si="6"/>
        <v>64</v>
      </c>
      <c r="AG29" s="1">
        <f t="shared" si="1"/>
        <v>-91</v>
      </c>
      <c r="AH29" s="1"/>
    </row>
    <row r="30" spans="2:38" x14ac:dyDescent="0.3">
      <c r="B30" s="11" t="s">
        <v>55</v>
      </c>
      <c r="C30" s="18">
        <f t="shared" ref="C30:AD30" si="8">SUM(C4:C29)</f>
        <v>15</v>
      </c>
      <c r="D30" s="18">
        <f t="shared" si="8"/>
        <v>0</v>
      </c>
      <c r="E30" s="18">
        <f t="shared" si="8"/>
        <v>15</v>
      </c>
      <c r="F30" s="18">
        <f t="shared" si="8"/>
        <v>0</v>
      </c>
      <c r="G30" s="18">
        <f t="shared" si="8"/>
        <v>15</v>
      </c>
      <c r="H30" s="18">
        <f t="shared" si="8"/>
        <v>0</v>
      </c>
      <c r="I30" s="18">
        <f t="shared" si="8"/>
        <v>10</v>
      </c>
      <c r="J30" s="18">
        <f t="shared" si="8"/>
        <v>0</v>
      </c>
      <c r="K30" s="18">
        <f t="shared" si="8"/>
        <v>15</v>
      </c>
      <c r="L30" s="18">
        <f t="shared" si="8"/>
        <v>0</v>
      </c>
      <c r="M30" s="18">
        <f t="shared" si="8"/>
        <v>15</v>
      </c>
      <c r="N30" s="18">
        <f t="shared" si="8"/>
        <v>64</v>
      </c>
      <c r="O30" s="18">
        <f t="shared" si="8"/>
        <v>15</v>
      </c>
      <c r="P30" s="18">
        <f t="shared" si="8"/>
        <v>0</v>
      </c>
      <c r="Q30" s="18">
        <f t="shared" si="8"/>
        <v>15</v>
      </c>
      <c r="R30" s="18">
        <f t="shared" si="8"/>
        <v>0</v>
      </c>
      <c r="S30" s="18">
        <f t="shared" si="8"/>
        <v>15</v>
      </c>
      <c r="T30" s="18">
        <f>SUM(T4:T29)</f>
        <v>0</v>
      </c>
      <c r="U30" s="18">
        <f t="shared" si="8"/>
        <v>10</v>
      </c>
      <c r="V30" s="21">
        <f t="shared" si="8"/>
        <v>0</v>
      </c>
      <c r="W30" s="18">
        <f t="shared" si="8"/>
        <v>10</v>
      </c>
      <c r="X30" s="21">
        <f t="shared" si="8"/>
        <v>0</v>
      </c>
      <c r="Y30" s="18">
        <f t="shared" si="8"/>
        <v>5</v>
      </c>
      <c r="Z30" s="21">
        <f t="shared" si="8"/>
        <v>0</v>
      </c>
      <c r="AA30" s="18">
        <f t="shared" si="8"/>
        <v>15</v>
      </c>
      <c r="AB30" s="21">
        <f>SUM(AB4:AB29)</f>
        <v>0</v>
      </c>
      <c r="AC30" s="29">
        <f t="shared" si="8"/>
        <v>155</v>
      </c>
      <c r="AD30" s="18">
        <f t="shared" si="8"/>
        <v>64</v>
      </c>
      <c r="AE30" s="1"/>
    </row>
    <row r="31" spans="2:38" x14ac:dyDescent="0.3">
      <c r="D31" s="56">
        <f>(D30-C30)/C30</f>
        <v>-1</v>
      </c>
      <c r="F31" s="34">
        <f>(F30-E30)/E30</f>
        <v>-1</v>
      </c>
      <c r="H31" s="34">
        <f>(H30-G30)/G30</f>
        <v>-1</v>
      </c>
      <c r="J31" s="34">
        <f>(J30-I30)/I30</f>
        <v>-1</v>
      </c>
      <c r="L31" s="28">
        <f>(L30-K30)/K30</f>
        <v>-1</v>
      </c>
      <c r="N31" s="28">
        <f>(N30-M30)/M30</f>
        <v>3.2666666666666666</v>
      </c>
      <c r="P31" s="28">
        <f>(P30-O30)/O30</f>
        <v>-1</v>
      </c>
      <c r="R31" s="28">
        <f>(R30-Q30)/Q30</f>
        <v>-1</v>
      </c>
      <c r="T31" s="22">
        <f>(T30-S30)/S30</f>
        <v>-1</v>
      </c>
      <c r="V31" s="28">
        <f>(V30-U30)/U30</f>
        <v>-1</v>
      </c>
      <c r="X31" s="28">
        <f>(X30-W30)/W30</f>
        <v>-1</v>
      </c>
      <c r="Z31" s="28">
        <f>(Z30-Y30)/Y30</f>
        <v>-1</v>
      </c>
      <c r="AB31">
        <f>(AB30-AA30)/AA30</f>
        <v>-1</v>
      </c>
    </row>
    <row r="32" spans="2:38" x14ac:dyDescent="0.3">
      <c r="F32" s="70" t="s">
        <v>56</v>
      </c>
      <c r="G32" s="71"/>
      <c r="H32" s="72"/>
      <c r="I32" s="68">
        <f>C30+E30+G30+I30+K30+M30+O30+Q30+S30+U30+AA30+W30+Y30</f>
        <v>170</v>
      </c>
      <c r="J32" s="69"/>
    </row>
    <row r="33" spans="3:25" x14ac:dyDescent="0.3">
      <c r="G33" s="75" t="s">
        <v>57</v>
      </c>
      <c r="H33" s="75"/>
      <c r="I33" s="68">
        <f>+D30+F30+H30+J30+L30+N30+P30+R30+T30+V30+AB30+X30+Z30</f>
        <v>64</v>
      </c>
      <c r="J33" s="69"/>
    </row>
    <row r="34" spans="3:25" x14ac:dyDescent="0.3">
      <c r="I34" s="68">
        <f>I33-I32</f>
        <v>-106</v>
      </c>
      <c r="J34" s="69"/>
      <c r="Y34">
        <f>2167+183+5*10</f>
        <v>2400</v>
      </c>
    </row>
    <row r="35" spans="3:25" x14ac:dyDescent="0.3">
      <c r="C35" s="36">
        <f>C30+E30+G30+I30</f>
        <v>55</v>
      </c>
      <c r="D35" s="36">
        <f>D30+F30+H30+J30</f>
        <v>0</v>
      </c>
      <c r="E35" s="37">
        <f>D35-C35</f>
        <v>-55</v>
      </c>
      <c r="I35" s="38">
        <f>O30+K30+M30+Q30</f>
        <v>60</v>
      </c>
      <c r="J35" s="38">
        <f>P30+L30+N30</f>
        <v>64</v>
      </c>
      <c r="K35" s="39">
        <f>J35-I35</f>
        <v>4</v>
      </c>
      <c r="O35" s="40">
        <f>U30+W30+Y30+S30</f>
        <v>40</v>
      </c>
      <c r="P35" s="40">
        <f>V30+X30+T30+Z30</f>
        <v>0</v>
      </c>
      <c r="Q35" s="41">
        <f>P35-O35</f>
        <v>-40</v>
      </c>
      <c r="X35" s="55"/>
      <c r="Y35">
        <f>15*10</f>
        <v>150</v>
      </c>
    </row>
    <row r="36" spans="3:25" x14ac:dyDescent="0.3">
      <c r="C36" s="36"/>
      <c r="D36" s="34">
        <f>(D35-C35)/C35</f>
        <v>-1</v>
      </c>
      <c r="E36" s="37"/>
      <c r="I36" s="38"/>
      <c r="J36" s="34">
        <f>(J35-I35)/I35</f>
        <v>6.6666666666666666E-2</v>
      </c>
      <c r="K36" s="39"/>
      <c r="O36" s="40"/>
      <c r="P36" s="34">
        <f>(P35-O35)/O35</f>
        <v>-1</v>
      </c>
      <c r="Q36" s="41"/>
      <c r="X36" s="55"/>
    </row>
    <row r="37" spans="3:25" x14ac:dyDescent="0.3">
      <c r="G37" t="s">
        <v>58</v>
      </c>
      <c r="I37">
        <v>2400.0500000000002</v>
      </c>
    </row>
    <row r="39" spans="3:25" x14ac:dyDescent="0.3">
      <c r="G39" s="42" t="s">
        <v>64</v>
      </c>
      <c r="H39" s="42"/>
      <c r="I39" s="76">
        <f>I37+I34</f>
        <v>2294.0500000000002</v>
      </c>
      <c r="J39" s="76"/>
      <c r="M39" s="33"/>
    </row>
    <row r="41" spans="3:25" x14ac:dyDescent="0.3">
      <c r="X41" s="55"/>
    </row>
    <row r="43" spans="3:25" x14ac:dyDescent="0.3">
      <c r="C43" s="1">
        <f>C30+E30+G30+I30</f>
        <v>55</v>
      </c>
      <c r="D43" s="1">
        <f>D30+F30+H30+J30</f>
        <v>0</v>
      </c>
      <c r="I43" s="1">
        <f>O30+K30+M30</f>
        <v>45</v>
      </c>
      <c r="J43" s="1">
        <f>P30+L30+N30</f>
        <v>64</v>
      </c>
      <c r="O43" s="1">
        <f>U30+Q30+S30</f>
        <v>40</v>
      </c>
      <c r="P43" s="1">
        <f>V30+R30+T30</f>
        <v>0</v>
      </c>
    </row>
    <row r="44" spans="3:25" x14ac:dyDescent="0.3">
      <c r="D44" s="1">
        <f>D43-C43</f>
        <v>-55</v>
      </c>
      <c r="J44" s="33">
        <f>J43-I43</f>
        <v>19</v>
      </c>
      <c r="P44" s="33">
        <f>P43-O43</f>
        <v>-40</v>
      </c>
    </row>
    <row r="46" spans="3:25" x14ac:dyDescent="0.3">
      <c r="V46" t="s">
        <v>183</v>
      </c>
    </row>
    <row r="47" spans="3:25" x14ac:dyDescent="0.3">
      <c r="D47" t="s">
        <v>88</v>
      </c>
      <c r="J47" t="s">
        <v>184</v>
      </c>
      <c r="V47" t="s">
        <v>89</v>
      </c>
      <c r="W47">
        <f>SUM('1 Leg Losses 2026'!G8)</f>
        <v>1</v>
      </c>
    </row>
    <row r="48" spans="3:25" x14ac:dyDescent="0.3">
      <c r="D48" t="s">
        <v>90</v>
      </c>
      <c r="E48" t="s">
        <v>91</v>
      </c>
      <c r="J48" t="s">
        <v>90</v>
      </c>
      <c r="K48" t="s">
        <v>112</v>
      </c>
      <c r="V48" t="s">
        <v>12</v>
      </c>
      <c r="W48">
        <f>SUM('1 Leg Losses 2026'!G2)</f>
        <v>0</v>
      </c>
    </row>
    <row r="49" spans="4:23" x14ac:dyDescent="0.3">
      <c r="D49" t="s">
        <v>92</v>
      </c>
      <c r="E49" s="1">
        <f>SUM(V30)</f>
        <v>0</v>
      </c>
      <c r="J49" t="s">
        <v>92</v>
      </c>
      <c r="K49">
        <v>0</v>
      </c>
      <c r="V49" t="s">
        <v>93</v>
      </c>
      <c r="W49">
        <f>SUM('1 Leg Losses 2026'!G5)</f>
        <v>0</v>
      </c>
    </row>
    <row r="50" spans="4:23" x14ac:dyDescent="0.3">
      <c r="D50" t="s">
        <v>12</v>
      </c>
      <c r="E50" s="1">
        <f>SUM(L30)</f>
        <v>0</v>
      </c>
      <c r="J50" t="s">
        <v>12</v>
      </c>
      <c r="K50">
        <v>0</v>
      </c>
      <c r="V50" t="s">
        <v>92</v>
      </c>
      <c r="W50">
        <f>SUM('1 Leg Losses 2026'!G1)</f>
        <v>0</v>
      </c>
    </row>
    <row r="51" spans="4:23" x14ac:dyDescent="0.3">
      <c r="D51" t="s">
        <v>94</v>
      </c>
      <c r="E51" s="1">
        <f>SUM(T30)</f>
        <v>0</v>
      </c>
      <c r="J51" t="s">
        <v>94</v>
      </c>
      <c r="K51">
        <v>0</v>
      </c>
      <c r="V51" t="s">
        <v>9</v>
      </c>
      <c r="W51">
        <f>SUM('1 Leg Losses 2026'!G12)</f>
        <v>0</v>
      </c>
    </row>
    <row r="52" spans="4:23" x14ac:dyDescent="0.3">
      <c r="D52" t="s">
        <v>95</v>
      </c>
      <c r="E52" s="1">
        <f>SUM(F30)</f>
        <v>0</v>
      </c>
      <c r="J52" t="s">
        <v>95</v>
      </c>
      <c r="K52">
        <v>0</v>
      </c>
      <c r="V52" t="s">
        <v>11</v>
      </c>
      <c r="W52">
        <f>SUM('1 Leg Losses 2026'!G4)</f>
        <v>0</v>
      </c>
    </row>
    <row r="53" spans="4:23" x14ac:dyDescent="0.3">
      <c r="D53" t="s">
        <v>93</v>
      </c>
      <c r="E53" s="1">
        <f>SUM(J30)</f>
        <v>0</v>
      </c>
      <c r="J53" t="s">
        <v>93</v>
      </c>
      <c r="K53">
        <v>0</v>
      </c>
      <c r="V53" t="s">
        <v>96</v>
      </c>
      <c r="W53">
        <f>SUM('1 Leg Losses 2026'!G9)</f>
        <v>0</v>
      </c>
    </row>
    <row r="54" spans="4:23" x14ac:dyDescent="0.3">
      <c r="D54" t="s">
        <v>97</v>
      </c>
      <c r="E54" s="1">
        <f>SUM(R30)</f>
        <v>0</v>
      </c>
      <c r="J54" t="s">
        <v>97</v>
      </c>
      <c r="K54">
        <v>0</v>
      </c>
      <c r="V54" t="s">
        <v>98</v>
      </c>
      <c r="W54">
        <f>SUM('1 Leg Losses 2026'!G7)</f>
        <v>0</v>
      </c>
    </row>
    <row r="55" spans="4:23" x14ac:dyDescent="0.3">
      <c r="D55" t="s">
        <v>98</v>
      </c>
      <c r="E55" s="1">
        <f>SUM(N30)</f>
        <v>64</v>
      </c>
      <c r="J55" t="s">
        <v>98</v>
      </c>
      <c r="K55">
        <v>0</v>
      </c>
      <c r="V55" t="s">
        <v>97</v>
      </c>
      <c r="W55">
        <f>SUM('1 Leg Losses 2026'!G6)</f>
        <v>1</v>
      </c>
    </row>
    <row r="56" spans="4:23" x14ac:dyDescent="0.3">
      <c r="D56" t="s">
        <v>89</v>
      </c>
      <c r="E56" s="1">
        <f>SUM(X30)</f>
        <v>0</v>
      </c>
      <c r="J56" t="s">
        <v>89</v>
      </c>
      <c r="K56">
        <v>0</v>
      </c>
      <c r="V56" t="s">
        <v>94</v>
      </c>
      <c r="W56">
        <f>SUM('1 Leg Losses 2026'!G3)</f>
        <v>1</v>
      </c>
    </row>
    <row r="57" spans="4:23" x14ac:dyDescent="0.3">
      <c r="D57" t="s">
        <v>96</v>
      </c>
      <c r="E57" s="1">
        <f>SUM(Z30)</f>
        <v>0</v>
      </c>
      <c r="J57" t="s">
        <v>96</v>
      </c>
      <c r="K57">
        <v>0</v>
      </c>
      <c r="V57" t="s">
        <v>120</v>
      </c>
      <c r="W57">
        <f>SUM('1 Leg Losses 2026'!G10)</f>
        <v>0</v>
      </c>
    </row>
    <row r="58" spans="4:23" x14ac:dyDescent="0.3">
      <c r="D58" t="s">
        <v>120</v>
      </c>
      <c r="E58" s="1">
        <f>SUM(H30)</f>
        <v>0</v>
      </c>
      <c r="J58" t="s">
        <v>120</v>
      </c>
      <c r="K58">
        <v>0</v>
      </c>
      <c r="V58" t="s">
        <v>185</v>
      </c>
      <c r="W58">
        <f>SUM('1 Leg Losses 2026'!G13)</f>
        <v>1</v>
      </c>
    </row>
    <row r="59" spans="4:23" x14ac:dyDescent="0.3">
      <c r="D59" t="s">
        <v>121</v>
      </c>
      <c r="E59" s="1">
        <f>SUM(D30)</f>
        <v>0</v>
      </c>
      <c r="J59" t="s">
        <v>121</v>
      </c>
      <c r="K59">
        <v>0</v>
      </c>
      <c r="V59" t="s">
        <v>121</v>
      </c>
      <c r="W59">
        <f>SUM('1 Leg Losses 2026'!G11)</f>
        <v>1</v>
      </c>
    </row>
    <row r="60" spans="4:23" x14ac:dyDescent="0.3">
      <c r="D60" t="s">
        <v>9</v>
      </c>
      <c r="E60" s="1">
        <f>SUM(P30)</f>
        <v>0</v>
      </c>
      <c r="J60" t="s">
        <v>9</v>
      </c>
      <c r="K60">
        <v>0</v>
      </c>
      <c r="V60" t="s">
        <v>99</v>
      </c>
      <c r="W60">
        <f>SUM(W47:W59)</f>
        <v>5</v>
      </c>
    </row>
    <row r="61" spans="4:23" x14ac:dyDescent="0.3">
      <c r="D61" t="s">
        <v>185</v>
      </c>
      <c r="E61" s="1">
        <v>0</v>
      </c>
      <c r="J61" t="s">
        <v>185</v>
      </c>
      <c r="K61">
        <v>0</v>
      </c>
    </row>
    <row r="62" spans="4:23" x14ac:dyDescent="0.3">
      <c r="D62" t="s">
        <v>99</v>
      </c>
      <c r="E62" s="1">
        <f>SUM(E49:E60)</f>
        <v>64</v>
      </c>
      <c r="J62" t="s">
        <v>99</v>
      </c>
      <c r="K62">
        <f>SUM(K49:K60)</f>
        <v>0</v>
      </c>
    </row>
  </sheetData>
  <mergeCells count="23">
    <mergeCell ref="AI5:AL5"/>
    <mergeCell ref="C2:D2"/>
    <mergeCell ref="E2:F2"/>
    <mergeCell ref="G2:H2"/>
    <mergeCell ref="I2:J2"/>
    <mergeCell ref="K2:L2"/>
    <mergeCell ref="AC2:AD2"/>
    <mergeCell ref="AE2:AF2"/>
    <mergeCell ref="W1:X1"/>
    <mergeCell ref="M2:N2"/>
    <mergeCell ref="O2:P2"/>
    <mergeCell ref="Q2:R2"/>
    <mergeCell ref="S2:T2"/>
    <mergeCell ref="G33:H33"/>
    <mergeCell ref="I33:J33"/>
    <mergeCell ref="I34:J34"/>
    <mergeCell ref="I39:J39"/>
    <mergeCell ref="AA2:AB2"/>
    <mergeCell ref="U2:V2"/>
    <mergeCell ref="W2:X2"/>
    <mergeCell ref="Y2:Z2"/>
    <mergeCell ref="F32:H32"/>
    <mergeCell ref="I32:J32"/>
  </mergeCells>
  <pageMargins left="0.25" right="0.25" top="0.75" bottom="0.75" header="0.3" footer="0.3"/>
  <pageSetup paperSize="8" scale="6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51B2-92FF-4955-99CF-2C8DD50BAC4F}">
  <dimension ref="A1:G53"/>
  <sheetViews>
    <sheetView workbookViewId="0">
      <selection activeCell="G15" sqref="G15"/>
    </sheetView>
  </sheetViews>
  <sheetFormatPr defaultRowHeight="14.4" x14ac:dyDescent="0.3"/>
  <cols>
    <col min="1" max="1" width="10" customWidth="1"/>
    <col min="2" max="2" width="13.33203125" customWidth="1"/>
    <col min="3" max="3" width="20.44140625" customWidth="1"/>
    <col min="4" max="4" width="41.88671875" customWidth="1"/>
  </cols>
  <sheetData>
    <row r="1" spans="1:7" x14ac:dyDescent="0.3">
      <c r="A1" t="s">
        <v>122</v>
      </c>
      <c r="B1" t="s">
        <v>123</v>
      </c>
      <c r="C1" t="s">
        <v>124</v>
      </c>
      <c r="D1" t="s">
        <v>125</v>
      </c>
      <c r="E1" t="s">
        <v>92</v>
      </c>
      <c r="F1" t="str">
        <f t="shared" ref="F1:F13" si="0">IF(COUNTIF(A:A, E1)=0, "", SUMIF(A:A, E1, C:C))</f>
        <v/>
      </c>
      <c r="G1">
        <f>COUNTIF(A1:A81, E1)</f>
        <v>0</v>
      </c>
    </row>
    <row r="2" spans="1:7" x14ac:dyDescent="0.3">
      <c r="A2" t="s">
        <v>121</v>
      </c>
      <c r="B2" s="60">
        <v>10</v>
      </c>
      <c r="C2" s="59">
        <v>358</v>
      </c>
      <c r="D2" t="s">
        <v>186</v>
      </c>
      <c r="E2" t="s">
        <v>12</v>
      </c>
      <c r="F2" t="str">
        <f t="shared" si="0"/>
        <v/>
      </c>
      <c r="G2">
        <f>COUNTIF(A1:A81, E2)</f>
        <v>0</v>
      </c>
    </row>
    <row r="3" spans="1:7" x14ac:dyDescent="0.3">
      <c r="A3" t="s">
        <v>97</v>
      </c>
      <c r="B3" s="60">
        <v>10</v>
      </c>
      <c r="C3" s="59">
        <v>95</v>
      </c>
      <c r="D3" t="s">
        <v>187</v>
      </c>
      <c r="E3" t="s">
        <v>94</v>
      </c>
      <c r="F3">
        <f t="shared" si="0"/>
        <v>95</v>
      </c>
      <c r="G3">
        <f>COUNTIF(A1:A81, E3)</f>
        <v>1</v>
      </c>
    </row>
    <row r="4" spans="1:7" x14ac:dyDescent="0.3">
      <c r="A4" t="s">
        <v>185</v>
      </c>
      <c r="B4" s="60">
        <v>10</v>
      </c>
      <c r="C4" s="59">
        <v>61.8</v>
      </c>
      <c r="D4" t="s">
        <v>188</v>
      </c>
      <c r="E4" t="s">
        <v>95</v>
      </c>
      <c r="F4" t="str">
        <f t="shared" si="0"/>
        <v/>
      </c>
      <c r="G4">
        <f>COUNTIF(A2:A84, E4)</f>
        <v>0</v>
      </c>
    </row>
    <row r="5" spans="1:7" x14ac:dyDescent="0.3">
      <c r="A5" t="s">
        <v>94</v>
      </c>
      <c r="B5" s="59">
        <v>10</v>
      </c>
      <c r="C5" s="59">
        <v>95</v>
      </c>
      <c r="D5" t="s">
        <v>189</v>
      </c>
      <c r="E5" t="s">
        <v>93</v>
      </c>
      <c r="F5" t="str">
        <f t="shared" si="0"/>
        <v/>
      </c>
      <c r="G5">
        <f>COUNTIF(A2:A84, E5)</f>
        <v>0</v>
      </c>
    </row>
    <row r="6" spans="1:7" x14ac:dyDescent="0.3">
      <c r="A6" t="s">
        <v>89</v>
      </c>
      <c r="B6" s="59">
        <v>10</v>
      </c>
      <c r="C6" s="59">
        <v>97.5</v>
      </c>
      <c r="D6" t="s">
        <v>190</v>
      </c>
      <c r="E6" t="s">
        <v>97</v>
      </c>
      <c r="F6">
        <f t="shared" si="0"/>
        <v>95</v>
      </c>
      <c r="G6">
        <f>COUNTIF(A2:A84, E6)</f>
        <v>1</v>
      </c>
    </row>
    <row r="7" spans="1:7" x14ac:dyDescent="0.3">
      <c r="B7" s="60"/>
      <c r="C7" s="60"/>
      <c r="E7" t="s">
        <v>98</v>
      </c>
      <c r="F7" t="str">
        <f t="shared" si="0"/>
        <v/>
      </c>
      <c r="G7">
        <f>COUNTIF(A2:A87, E7)</f>
        <v>0</v>
      </c>
    </row>
    <row r="8" spans="1:7" x14ac:dyDescent="0.3">
      <c r="B8" s="60"/>
      <c r="C8" s="60"/>
      <c r="E8" t="s">
        <v>89</v>
      </c>
      <c r="F8">
        <f t="shared" si="0"/>
        <v>97.5</v>
      </c>
      <c r="G8">
        <f>COUNTIF(A2:A87, E8)</f>
        <v>1</v>
      </c>
    </row>
    <row r="9" spans="1:7" x14ac:dyDescent="0.3">
      <c r="B9" s="60"/>
      <c r="C9" s="60"/>
      <c r="E9" t="s">
        <v>96</v>
      </c>
      <c r="F9" t="str">
        <f t="shared" si="0"/>
        <v/>
      </c>
      <c r="G9">
        <f>COUNTIF(A2:A87, E9)</f>
        <v>0</v>
      </c>
    </row>
    <row r="10" spans="1:7" x14ac:dyDescent="0.3">
      <c r="B10" s="60"/>
      <c r="C10" s="60"/>
      <c r="E10" t="s">
        <v>120</v>
      </c>
      <c r="F10" t="str">
        <f t="shared" si="0"/>
        <v/>
      </c>
      <c r="G10">
        <f>COUNTIF(A2:A90, E10)</f>
        <v>0</v>
      </c>
    </row>
    <row r="11" spans="1:7" x14ac:dyDescent="0.3">
      <c r="B11" s="60"/>
      <c r="C11" s="60"/>
      <c r="E11" t="s">
        <v>121</v>
      </c>
      <c r="F11">
        <f t="shared" si="0"/>
        <v>358</v>
      </c>
      <c r="G11">
        <f>COUNTIF(A2:A90, E11)</f>
        <v>1</v>
      </c>
    </row>
    <row r="12" spans="1:7" x14ac:dyDescent="0.3">
      <c r="B12" s="60"/>
      <c r="C12" s="59"/>
      <c r="E12" t="s">
        <v>9</v>
      </c>
      <c r="F12" t="str">
        <f t="shared" si="0"/>
        <v/>
      </c>
      <c r="G12">
        <f>COUNTIF(A2:A90, E12)</f>
        <v>0</v>
      </c>
    </row>
    <row r="13" spans="1:7" x14ac:dyDescent="0.3">
      <c r="B13" s="60"/>
      <c r="C13" s="59"/>
      <c r="E13" t="s">
        <v>185</v>
      </c>
      <c r="F13">
        <f t="shared" si="0"/>
        <v>61.8</v>
      </c>
      <c r="G13">
        <f>COUNTIF(A2:A100, E13)</f>
        <v>1</v>
      </c>
    </row>
    <row r="14" spans="1:7" x14ac:dyDescent="0.3">
      <c r="B14" s="59"/>
      <c r="C14" s="59"/>
      <c r="F14" s="61">
        <f>SUM(F1:F13)</f>
        <v>707.3</v>
      </c>
      <c r="G14">
        <f>SUM(G1:G13)</f>
        <v>5</v>
      </c>
    </row>
    <row r="15" spans="1:7" x14ac:dyDescent="0.3">
      <c r="B15" s="60"/>
      <c r="C15" s="60"/>
    </row>
    <row r="16" spans="1:7" x14ac:dyDescent="0.3">
      <c r="B16" s="60"/>
      <c r="C16" s="60"/>
    </row>
    <row r="17" spans="2:3" x14ac:dyDescent="0.3">
      <c r="B17" s="60"/>
      <c r="C17" s="59"/>
    </row>
    <row r="18" spans="2:3" x14ac:dyDescent="0.3">
      <c r="B18" s="60"/>
      <c r="C18" s="59"/>
    </row>
    <row r="19" spans="2:3" x14ac:dyDescent="0.3">
      <c r="B19" s="60"/>
      <c r="C19" s="60"/>
    </row>
    <row r="20" spans="2:3" x14ac:dyDescent="0.3">
      <c r="B20" s="60"/>
      <c r="C20" s="60"/>
    </row>
    <row r="21" spans="2:3" x14ac:dyDescent="0.3">
      <c r="B21" s="60"/>
      <c r="C21" s="60"/>
    </row>
    <row r="22" spans="2:3" x14ac:dyDescent="0.3">
      <c r="B22" s="60"/>
      <c r="C22" s="59"/>
    </row>
    <row r="23" spans="2:3" x14ac:dyDescent="0.3">
      <c r="B23" s="60"/>
      <c r="C23" s="59"/>
    </row>
    <row r="24" spans="2:3" x14ac:dyDescent="0.3">
      <c r="C24" s="59"/>
    </row>
    <row r="25" spans="2:3" x14ac:dyDescent="0.3">
      <c r="B25" s="60"/>
      <c r="C25" s="59"/>
    </row>
    <row r="26" spans="2:3" x14ac:dyDescent="0.3">
      <c r="B26" s="60"/>
      <c r="C26" s="60"/>
    </row>
    <row r="27" spans="2:3" x14ac:dyDescent="0.3">
      <c r="C27" s="59"/>
    </row>
    <row r="28" spans="2:3" x14ac:dyDescent="0.3">
      <c r="B28" s="60"/>
      <c r="C28" s="60"/>
    </row>
    <row r="29" spans="2:3" x14ac:dyDescent="0.3">
      <c r="C29" s="59"/>
    </row>
    <row r="30" spans="2:3" x14ac:dyDescent="0.3">
      <c r="B30" s="60"/>
      <c r="C30" s="59"/>
    </row>
    <row r="31" spans="2:3" x14ac:dyDescent="0.3">
      <c r="B31" s="60"/>
      <c r="C31" s="60"/>
    </row>
    <row r="32" spans="2:3" x14ac:dyDescent="0.3">
      <c r="B32" s="60"/>
      <c r="C32" s="60"/>
    </row>
    <row r="33" spans="2:3" x14ac:dyDescent="0.3">
      <c r="B33" s="60"/>
      <c r="C33" s="59"/>
    </row>
    <row r="34" spans="2:3" x14ac:dyDescent="0.3">
      <c r="B34" s="60"/>
      <c r="C34" s="59"/>
    </row>
    <row r="35" spans="2:3" x14ac:dyDescent="0.3">
      <c r="B35" s="60"/>
      <c r="C35" s="59"/>
    </row>
    <row r="36" spans="2:3" x14ac:dyDescent="0.3">
      <c r="B36" s="60"/>
      <c r="C36" s="59"/>
    </row>
    <row r="37" spans="2:3" x14ac:dyDescent="0.3">
      <c r="C37" s="59"/>
    </row>
    <row r="38" spans="2:3" x14ac:dyDescent="0.3">
      <c r="B38" s="60"/>
      <c r="C38" s="60"/>
    </row>
    <row r="39" spans="2:3" x14ac:dyDescent="0.3">
      <c r="C39" s="60"/>
    </row>
    <row r="40" spans="2:3" x14ac:dyDescent="0.3">
      <c r="B40" s="59"/>
      <c r="C40" s="59"/>
    </row>
    <row r="41" spans="2:3" x14ac:dyDescent="0.3">
      <c r="B41" s="60"/>
      <c r="C41" s="59"/>
    </row>
    <row r="42" spans="2:3" x14ac:dyDescent="0.3">
      <c r="B42" s="60"/>
      <c r="C42" s="59"/>
    </row>
    <row r="43" spans="2:3" x14ac:dyDescent="0.3">
      <c r="B43" s="60"/>
      <c r="C43" s="60"/>
    </row>
    <row r="44" spans="2:3" x14ac:dyDescent="0.3">
      <c r="B44" s="60"/>
      <c r="C44" s="59"/>
    </row>
    <row r="45" spans="2:3" x14ac:dyDescent="0.3">
      <c r="B45" s="59"/>
      <c r="C45" s="60"/>
    </row>
    <row r="46" spans="2:3" x14ac:dyDescent="0.3">
      <c r="C46" s="59"/>
    </row>
    <row r="47" spans="2:3" x14ac:dyDescent="0.3">
      <c r="C47" s="59"/>
    </row>
    <row r="48" spans="2:3" x14ac:dyDescent="0.3">
      <c r="B48" s="60"/>
      <c r="C48" s="59"/>
    </row>
    <row r="49" spans="2:3" x14ac:dyDescent="0.3">
      <c r="B49" s="59"/>
      <c r="C49" s="59"/>
    </row>
    <row r="50" spans="2:3" x14ac:dyDescent="0.3">
      <c r="B50" s="60"/>
      <c r="C50" s="60"/>
    </row>
    <row r="51" spans="2:3" x14ac:dyDescent="0.3">
      <c r="B51" s="60"/>
      <c r="C51" s="59"/>
    </row>
    <row r="52" spans="2:3" x14ac:dyDescent="0.3">
      <c r="B52" s="60"/>
      <c r="C52" s="59"/>
    </row>
    <row r="53" spans="2:3" x14ac:dyDescent="0.3">
      <c r="B53" s="60"/>
      <c r="C53" s="59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1ffae5-f160-4019-9720-1b11bf1b81a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93059904904F9DB82DE4B9AFABF6" ma:contentTypeVersion="13" ma:contentTypeDescription="Create a new document." ma:contentTypeScope="" ma:versionID="f7bafc8adbaca2e93ffc3a1da3fd32d5">
  <xsd:schema xmlns:xsd="http://www.w3.org/2001/XMLSchema" xmlns:xs="http://www.w3.org/2001/XMLSchema" xmlns:p="http://schemas.microsoft.com/office/2006/metadata/properties" xmlns:ns3="3e1ffae5-f160-4019-9720-1b11bf1b81a3" xmlns:ns4="21753bd8-bffc-4cd2-a328-982ee854c895" targetNamespace="http://schemas.microsoft.com/office/2006/metadata/properties" ma:root="true" ma:fieldsID="8f821f56a5d2247de677e71e73e5a99e" ns3:_="" ns4:_="">
    <xsd:import namespace="3e1ffae5-f160-4019-9720-1b11bf1b81a3"/>
    <xsd:import namespace="21753bd8-bffc-4cd2-a328-982ee854c8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fae5-f160-4019-9720-1b11bf1b8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53bd8-bffc-4cd2-a328-982ee854c8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D7A62A-0CB5-48B0-A73A-0A91BCC8EAEF}">
  <ds:schemaRefs>
    <ds:schemaRef ds:uri="http://schemas.microsoft.com/office/2006/metadata/properties"/>
    <ds:schemaRef ds:uri="http://schemas.microsoft.com/office/infopath/2007/PartnerControls"/>
    <ds:schemaRef ds:uri="3e1ffae5-f160-4019-9720-1b11bf1b81a3"/>
  </ds:schemaRefs>
</ds:datastoreItem>
</file>

<file path=customXml/itemProps2.xml><?xml version="1.0" encoding="utf-8"?>
<ds:datastoreItem xmlns:ds="http://schemas.openxmlformats.org/officeDocument/2006/customXml" ds:itemID="{948817D4-7F3F-493D-9D4C-B473DA03CC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BA772B-ABF0-4278-9CEF-D9160BBA9E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ffae5-f160-4019-9720-1b11bf1b81a3"/>
    <ds:schemaRef ds:uri="21753bd8-bffc-4cd2-a328-982ee854c8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f7d30c2-cad0-4405-8153-25a6a3313da4}" enabled="1" method="Privileged" siteId="{6c637512-c417-4e78-9d62-b61258e4b61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Punters club</vt:lpstr>
      <vt:lpstr>Punters 2020</vt:lpstr>
      <vt:lpstr>Punters 2021</vt:lpstr>
      <vt:lpstr>Punters 2022</vt:lpstr>
      <vt:lpstr>Punters 2023</vt:lpstr>
      <vt:lpstr>Punters 2024</vt:lpstr>
      <vt:lpstr>Punters 2025</vt:lpstr>
      <vt:lpstr>1 Leg Losses 2025</vt:lpstr>
      <vt:lpstr>Punters 2026</vt:lpstr>
      <vt:lpstr>1 Leg Losses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HEMANPUNTERS</dc:title>
  <dc:subject/>
  <dc:creator>Brenton Jaskola</dc:creator>
  <cp:keywords/>
  <dc:description/>
  <cp:lastModifiedBy>Brenton Turnor</cp:lastModifiedBy>
  <cp:revision/>
  <dcterms:created xsi:type="dcterms:W3CDTF">2018-12-11T23:51:55Z</dcterms:created>
  <dcterms:modified xsi:type="dcterms:W3CDTF">2026-03-09T02:55:01Z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0x0101002D8393059904904F9DB82DE4B9AFABF6</vt:lpwstr>
  </property>
</Properties>
</file>